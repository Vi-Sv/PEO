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victe\OneDrive\Рабочий стол\2ГПР\"/>
    </mc:Choice>
  </mc:AlternateContent>
  <xr:revisionPtr revIDLastSave="0" documentId="13_ncr:1_{2A3E1CC7-498E-4D89-8242-0CF1D776D18B}" xr6:coauthVersionLast="47" xr6:coauthVersionMax="47" xr10:uidLastSave="{00000000-0000-0000-0000-000000000000}"/>
  <bookViews>
    <workbookView xWindow="28680" yWindow="-120" windowWidth="29040" windowHeight="15720" firstSheet="37" activeTab="43" xr2:uid="{00000000-000D-0000-FFFF-FFFF00000000}"/>
  </bookViews>
  <sheets>
    <sheet name="000.ВК." sheetId="1" r:id="rId1"/>
    <sheet name="004.000.Т." sheetId="2" r:id="rId2"/>
    <sheet name="003.АС" sheetId="3" r:id="rId3"/>
    <sheet name="004.АС" sheetId="4" r:id="rId4"/>
    <sheet name="004.ТХ" sheetId="5" r:id="rId5"/>
    <sheet name="008.АС." sheetId="6" r:id="rId6"/>
    <sheet name="014.АС" sheetId="7" r:id="rId7"/>
    <sheet name="014.ВК" sheetId="110" r:id="rId8"/>
    <sheet name="021.АС." sheetId="8" r:id="rId9"/>
    <sheet name="022.АС." sheetId="9" r:id="rId10"/>
    <sheet name="022.ТХ." sheetId="10" r:id="rId11"/>
    <sheet name="025.АС." sheetId="12" r:id="rId12"/>
    <sheet name="025.Т." sheetId="13" r:id="rId13"/>
    <sheet name="000.000.ЭВ." sheetId="14" r:id="rId14"/>
    <sheet name="ЭХЗ.ВР" sheetId="15" r:id="rId15"/>
    <sheet name="000.000.АС3" sheetId="16" r:id="rId16"/>
    <sheet name="000.000.ЭВ3" sheetId="17" r:id="rId17"/>
    <sheet name="000.АС10" sheetId="18" r:id="rId18"/>
    <sheet name="000.АС11" sheetId="19" r:id="rId19"/>
    <sheet name="000.ГП10" sheetId="22" r:id="rId20"/>
    <sheet name="000.ГП16" sheetId="24" r:id="rId21"/>
    <sheet name=".000.ГП17" sheetId="25" r:id="rId22"/>
    <sheet name="000.ГП18" sheetId="26" r:id="rId23"/>
    <sheet name="000.ГП19" sheetId="27" r:id="rId24"/>
    <sheet name=".000.ГП2" sheetId="28" r:id="rId25"/>
    <sheet name="000.ГП3" sheetId="29" r:id="rId26"/>
    <sheet name="000.ГП4" sheetId="30" r:id="rId27"/>
    <sheet name="Л.000" sheetId="32" r:id="rId28"/>
    <sheet name="000.ЭМ1" sheetId="33" r:id="rId29"/>
    <sheet name="000.ЭМ2" sheetId="44" r:id="rId30"/>
    <sheet name="000.ЭМ10" sheetId="34" r:id="rId31"/>
    <sheet name="000.ЭМ11" sheetId="35" r:id="rId32"/>
    <sheet name="000.ЭМ12" sheetId="36" r:id="rId33"/>
    <sheet name="000.ЭМ13" sheetId="37" r:id="rId34"/>
    <sheet name="000.ЭМ14" sheetId="38" r:id="rId35"/>
    <sheet name="000.ЭМ15" sheetId="39" r:id="rId36"/>
    <sheet name="000.ЭМ16" sheetId="40" r:id="rId37"/>
    <sheet name="ЭМ17" sheetId="41" r:id="rId38"/>
    <sheet name="ЭМ18" sheetId="42" r:id="rId39"/>
    <sheet name="000.ЭМ19" sheetId="43" r:id="rId40"/>
    <sheet name="000.ЭМ3" sheetId="45" r:id="rId41"/>
    <sheet name="000.ЭМ4" sheetId="46" r:id="rId42"/>
    <sheet name=".000.Л1" sheetId="48" r:id="rId43"/>
    <sheet name="000.ГП6" sheetId="51" r:id="rId44"/>
    <sheet name="000.ГП7" sheetId="53" r:id="rId45"/>
    <sheet name="000.ГП8" sheetId="54" r:id="rId46"/>
    <sheet name="000.ГП9" sheetId="55" r:id="rId47"/>
    <sheet name="000.АС12" sheetId="56" r:id="rId48"/>
    <sheet name="000.АС13" sheetId="57" r:id="rId49"/>
    <sheet name="АС14" sheetId="58" r:id="rId50"/>
    <sheet name="000.АС15" sheetId="59" r:id="rId51"/>
    <sheet name="000.АС16" sheetId="60" r:id="rId52"/>
    <sheet name="000.АС17" sheetId="61" r:id="rId53"/>
    <sheet name="000.АС18" sheetId="62" r:id="rId54"/>
    <sheet name="000.АС19" sheetId="63" r:id="rId55"/>
    <sheet name="000.АС20" sheetId="64" r:id="rId56"/>
    <sheet name="000.АС21" sheetId="65" r:id="rId57"/>
    <sheet name="000.АС22" sheetId="66" r:id="rId58"/>
    <sheet name="АС8" sheetId="112" r:id="rId59"/>
    <sheet name="000.АС23" sheetId="67" r:id="rId60"/>
    <sheet name="000.АС24" sheetId="68" r:id="rId61"/>
    <sheet name="000.АС25" sheetId="69" r:id="rId62"/>
    <sheet name="000.ЭГ18" sheetId="71" r:id="rId63"/>
    <sheet name="000.ЭГ19" sheetId="72" r:id="rId64"/>
    <sheet name="000.ЭГ20" sheetId="73" r:id="rId65"/>
    <sheet name="000.ЭГ21" sheetId="74" r:id="rId66"/>
    <sheet name="00.ЭГ22" sheetId="75" r:id="rId67"/>
    <sheet name="000.ЭГ5" sheetId="76" r:id="rId68"/>
    <sheet name=".000.ЭГ6" sheetId="77" r:id="rId69"/>
    <sheet name="000.ЭГ7" sheetId="78" r:id="rId70"/>
    <sheet name="000.ЭМ5" sheetId="79" r:id="rId71"/>
    <sheet name="00.ЭМ6" sheetId="80" r:id="rId72"/>
    <sheet name="000.ЭМ7" sheetId="81" r:id="rId73"/>
    <sheet name="000.ЭМ8" sheetId="82" r:id="rId74"/>
    <sheet name="000.ЭМ9" sheetId="83" r:id="rId75"/>
    <sheet name="36" sheetId="86" r:id="rId76"/>
    <sheet name="37" sheetId="87" r:id="rId77"/>
    <sheet name="38" sheetId="88" r:id="rId78"/>
    <sheet name="39" sheetId="89" r:id="rId79"/>
    <sheet name="40" sheetId="90" r:id="rId80"/>
    <sheet name="42" sheetId="97" r:id="rId81"/>
    <sheet name="41" sheetId="91" r:id="rId82"/>
    <sheet name="43" sheetId="98" r:id="rId83"/>
    <sheet name="44" sheetId="99" r:id="rId84"/>
    <sheet name="45" sheetId="100" r:id="rId85"/>
    <sheet name="46" sheetId="101" r:id="rId86"/>
    <sheet name="47" sheetId="102" r:id="rId87"/>
    <sheet name="48" sheetId="103" r:id="rId88"/>
    <sheet name="49" sheetId="104" r:id="rId89"/>
    <sheet name="50" sheetId="105" r:id="rId90"/>
    <sheet name="51" sheetId="106" r:id="rId91"/>
    <sheet name="52" sheetId="107" r:id="rId92"/>
    <sheet name="00.ГП15" sheetId="84" r:id="rId93"/>
    <sheet name="Лист1" sheetId="109" r:id="rId94"/>
  </sheets>
  <definedNames>
    <definedName name="_xlnm._FilterDatabase" localSheetId="21" hidden="1">'.000.ГП17'!$A$1:$G$11</definedName>
    <definedName name="_xlnm._FilterDatabase" localSheetId="24" hidden="1">'.000.ГП2'!$A$1:$G$14</definedName>
    <definedName name="_xlnm._FilterDatabase" localSheetId="42" hidden="1">'.000.Л1'!$A$1:$G$49</definedName>
    <definedName name="_xlnm._FilterDatabase" localSheetId="68" hidden="1">'.000.ЭГ6'!$A$1:$G$8</definedName>
    <definedName name="_xlnm._FilterDatabase" localSheetId="92" hidden="1">'00.ГП15'!$A$1:$G$9</definedName>
    <definedName name="_xlnm._FilterDatabase" localSheetId="66" hidden="1">'00.ЭГ22'!$A$1:$G$8</definedName>
    <definedName name="_xlnm._FilterDatabase" localSheetId="71" hidden="1">'00.ЭМ6'!$A$1:$G$6</definedName>
    <definedName name="_xlnm._FilterDatabase" localSheetId="15" hidden="1">'000.000.АС3'!$A$1:$G$64</definedName>
    <definedName name="_xlnm._FilterDatabase" localSheetId="13" hidden="1">'000.000.ЭВ.'!$A$1:$G$48</definedName>
    <definedName name="_xlnm._FilterDatabase" localSheetId="16" hidden="1">'000.000.ЭВ3'!$A$1:$G$88</definedName>
    <definedName name="_xlnm._FilterDatabase" localSheetId="17" hidden="1">'000.АС10'!$A$1:$G$13</definedName>
    <definedName name="_xlnm._FilterDatabase" localSheetId="18" hidden="1">'000.АС11'!$A$1:$G$13</definedName>
    <definedName name="_xlnm._FilterDatabase" localSheetId="47" hidden="1">'000.АС12'!$A$1:$G$6</definedName>
    <definedName name="_xlnm._FilterDatabase" localSheetId="48" hidden="1">'000.АС13'!$A$1:$G$13</definedName>
    <definedName name="_xlnm._FilterDatabase" localSheetId="50" hidden="1">'000.АС15'!$A$1:$G$13</definedName>
    <definedName name="_xlnm._FilterDatabase" localSheetId="51" hidden="1">'000.АС16'!$A$1:$G$13</definedName>
    <definedName name="_xlnm._FilterDatabase" localSheetId="52" hidden="1">'000.АС17'!$A$1:$G$20</definedName>
    <definedName name="_xlnm._FilterDatabase" localSheetId="53" hidden="1">'000.АС18'!$A$1:$G$13</definedName>
    <definedName name="_xlnm._FilterDatabase" localSheetId="54" hidden="1">'000.АС19'!$A$1:$G$13</definedName>
    <definedName name="_xlnm._FilterDatabase" localSheetId="55" hidden="1">'000.АС20'!$A$1:$G$13</definedName>
    <definedName name="_xlnm._FilterDatabase" localSheetId="56" hidden="1">'000.АС21'!$A$1:$G$13</definedName>
    <definedName name="_xlnm._FilterDatabase" localSheetId="57" hidden="1">'000.АС22'!$A$1:$G$13</definedName>
    <definedName name="_xlnm._FilterDatabase" localSheetId="59" hidden="1">'000.АС23'!$A$1:$G$13</definedName>
    <definedName name="_xlnm._FilterDatabase" localSheetId="60" hidden="1">'000.АС24'!$A$1:$G$13</definedName>
    <definedName name="_xlnm._FilterDatabase" localSheetId="61" hidden="1">'000.АС25'!$A$1:$G$13</definedName>
    <definedName name="_xlnm._FilterDatabase" localSheetId="0" hidden="1">'000.ВК.'!$B$1:$G$1</definedName>
    <definedName name="_xlnm._FilterDatabase" localSheetId="19" hidden="1">'000.ГП10'!$A$1:$G$1</definedName>
    <definedName name="_xlnm._FilterDatabase" localSheetId="20" hidden="1">'000.ГП16'!$A$1:$G$14</definedName>
    <definedName name="_xlnm._FilterDatabase" localSheetId="22" hidden="1">'000.ГП18'!$A$1:$G$9</definedName>
    <definedName name="_xlnm._FilterDatabase" localSheetId="23" hidden="1">'000.ГП19'!$A$1:$G$10</definedName>
    <definedName name="_xlnm._FilterDatabase" localSheetId="25" hidden="1">'000.ГП3'!$A$1:$G$6</definedName>
    <definedName name="_xlnm._FilterDatabase" localSheetId="26" hidden="1">'000.ГП4'!$A$1:$G$14</definedName>
    <definedName name="_xlnm._FilterDatabase" localSheetId="43" hidden="1">'000.ГП6'!$A$1:$G$27</definedName>
    <definedName name="_xlnm._FilterDatabase" localSheetId="44" hidden="1">'000.ГП7'!$A$1:$G$9</definedName>
    <definedName name="_xlnm._FilterDatabase" localSheetId="45" hidden="1">'000.ГП8'!$A$1:$G$14</definedName>
    <definedName name="_xlnm._FilterDatabase" localSheetId="46" hidden="1">'000.ГП9'!$A$1:$G$14</definedName>
    <definedName name="_xlnm._FilterDatabase" localSheetId="62" hidden="1">'000.ЭГ18'!$A$1:$G$8</definedName>
    <definedName name="_xlnm._FilterDatabase" localSheetId="63" hidden="1">'000.ЭГ19'!$A$1:$G$8</definedName>
    <definedName name="_xlnm._FilterDatabase" localSheetId="64" hidden="1">'000.ЭГ20'!$A$1:$G$8</definedName>
    <definedName name="_xlnm._FilterDatabase" localSheetId="65" hidden="1">'000.ЭГ21'!$A$1:$G$8</definedName>
    <definedName name="_xlnm._FilterDatabase" localSheetId="67" hidden="1">'000.ЭГ5'!$A$1:$G$8</definedName>
    <definedName name="_xlnm._FilterDatabase" localSheetId="69" hidden="1">'000.ЭГ7'!$A$1:$G$8</definedName>
    <definedName name="_xlnm._FilterDatabase" localSheetId="28" hidden="1">'000.ЭМ1'!$A$1:$G$1</definedName>
    <definedName name="_xlnm._FilterDatabase" localSheetId="30" hidden="1">'000.ЭМ10'!$A$1:$G$6</definedName>
    <definedName name="_xlnm._FilterDatabase" localSheetId="31" hidden="1">'000.ЭМ11'!$A$1:$G$6</definedName>
    <definedName name="_xlnm._FilterDatabase" localSheetId="32" hidden="1">'000.ЭМ12'!$A$1:$G$6</definedName>
    <definedName name="_xlnm._FilterDatabase" localSheetId="33" hidden="1">'000.ЭМ13'!$A$1:$G$6</definedName>
    <definedName name="_xlnm._FilterDatabase" localSheetId="34" hidden="1">'000.ЭМ14'!$A$1:$G$6</definedName>
    <definedName name="_xlnm._FilterDatabase" localSheetId="35" hidden="1">'000.ЭМ15'!$A$1:$G$6</definedName>
    <definedName name="_xlnm._FilterDatabase" localSheetId="36" hidden="1">'000.ЭМ16'!$A$1:$G$6</definedName>
    <definedName name="_xlnm._FilterDatabase" localSheetId="39" hidden="1">'000.ЭМ19'!$A$1:$G$6</definedName>
    <definedName name="_xlnm._FilterDatabase" localSheetId="29" hidden="1">'000.ЭМ2'!$A$1:$G$6</definedName>
    <definedName name="_xlnm._FilterDatabase" localSheetId="40" hidden="1">'000.ЭМ3'!$A$1:$G$6</definedName>
    <definedName name="_xlnm._FilterDatabase" localSheetId="41" hidden="1">'000.ЭМ4'!$A$1:$G$6</definedName>
    <definedName name="_xlnm._FilterDatabase" localSheetId="70" hidden="1">'000.ЭМ5'!$A$1:$G$5</definedName>
    <definedName name="_xlnm._FilterDatabase" localSheetId="72" hidden="1">'000.ЭМ7'!$A$1:$G$6</definedName>
    <definedName name="_xlnm._FilterDatabase" localSheetId="73" hidden="1">'000.ЭМ8'!$A$1:$G$6</definedName>
    <definedName name="_xlnm._FilterDatabase" localSheetId="74" hidden="1">'000.ЭМ9'!$A$1:$G$6</definedName>
    <definedName name="_xlnm._FilterDatabase" localSheetId="2" hidden="1">'003.АС'!$B$1:$H$3</definedName>
    <definedName name="_xlnm._FilterDatabase" localSheetId="1" hidden="1">'004.000.Т.'!$B$1:$G$1</definedName>
    <definedName name="_xlnm._FilterDatabase" localSheetId="3" hidden="1">'004.АС'!$B$1:$G$18</definedName>
    <definedName name="_xlnm._FilterDatabase" localSheetId="4" hidden="1">'004.ТХ'!$A$1:$G$17</definedName>
    <definedName name="_xlnm._FilterDatabase" localSheetId="5" hidden="1">'008.АС.'!$A$1:$G$23</definedName>
    <definedName name="_xlnm._FilterDatabase" localSheetId="6" hidden="1">'014.АС'!$A$1:$G$32</definedName>
    <definedName name="_xlnm._FilterDatabase" localSheetId="8" hidden="1">'021.АС.'!$A$1:$G$19</definedName>
    <definedName name="_xlnm._FilterDatabase" localSheetId="9" hidden="1">'022.АС.'!$A$1:$G$14</definedName>
    <definedName name="_xlnm._FilterDatabase" localSheetId="10" hidden="1">'022.ТХ.'!$A$1:$G$14</definedName>
    <definedName name="_xlnm._FilterDatabase" localSheetId="11" hidden="1">'025.АС.'!$A$1:$G$16</definedName>
    <definedName name="_xlnm._FilterDatabase" localSheetId="12" hidden="1">'025.Т.'!$A$1:$G$16</definedName>
    <definedName name="_xlnm._FilterDatabase" localSheetId="75" hidden="1">'36'!$A$1:$G$9</definedName>
    <definedName name="_xlnm._FilterDatabase" localSheetId="76" hidden="1">'37'!$A$1:$G$14</definedName>
    <definedName name="_xlnm._FilterDatabase" localSheetId="77" hidden="1">'38'!$A$1:$G$14</definedName>
    <definedName name="_xlnm._FilterDatabase" localSheetId="78" hidden="1">'39'!$A$1:$G$14</definedName>
    <definedName name="_xlnm._FilterDatabase" localSheetId="79" hidden="1">'40'!$A$1:$G$7</definedName>
    <definedName name="_xlnm._FilterDatabase" localSheetId="81" hidden="1">'41'!$A$1:$G$8</definedName>
    <definedName name="_xlnm._FilterDatabase" localSheetId="80" hidden="1">'42'!$A$1:$G$8</definedName>
    <definedName name="_xlnm._FilterDatabase" localSheetId="82" hidden="1">'43'!$A$1:$G$8</definedName>
    <definedName name="_xlnm._FilterDatabase" localSheetId="83" hidden="1">'44'!$A$1:$G$8</definedName>
    <definedName name="_xlnm._FilterDatabase" localSheetId="84" hidden="1">'45'!$A$1:$G$8</definedName>
    <definedName name="_xlnm._FilterDatabase" localSheetId="85" hidden="1">'46'!$A$1:$G$8</definedName>
    <definedName name="_xlnm._FilterDatabase" localSheetId="86" hidden="1">'47'!$A$1:$G$8</definedName>
    <definedName name="_xlnm._FilterDatabase" localSheetId="87" hidden="1">'48'!$A$1:$G$8</definedName>
    <definedName name="_xlnm._FilterDatabase" localSheetId="88" hidden="1">'49'!$A$1:$G$8</definedName>
    <definedName name="_xlnm._FilterDatabase" localSheetId="89" hidden="1">'50'!$A$1:$G$8</definedName>
    <definedName name="_xlnm._FilterDatabase" localSheetId="90" hidden="1">'51'!$A$1:$G$8</definedName>
    <definedName name="_xlnm._FilterDatabase" localSheetId="91" hidden="1">'52'!$A$1:$G$8</definedName>
    <definedName name="_xlnm._FilterDatabase" localSheetId="49" hidden="1">АС14!$A$1:$G$13</definedName>
    <definedName name="_xlnm._FilterDatabase" localSheetId="27" hidden="1">Л.000!$A$1:$G$10</definedName>
    <definedName name="_xlnm._FilterDatabase" localSheetId="37" hidden="1">ЭМ17!$A$1:$G$6</definedName>
    <definedName name="_xlnm._FilterDatabase" localSheetId="38" hidden="1">ЭМ18!$A$1:$G$6</definedName>
    <definedName name="_xlnm._FilterDatabase" localSheetId="14" hidden="1">ЭХЗ.ВР!$A$1:$G$22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7" i="109" l="1"/>
  <c r="H6" i="109"/>
  <c r="H5" i="109"/>
  <c r="H8" i="84"/>
  <c r="H7" i="84"/>
  <c r="H8" i="107"/>
  <c r="H7" i="107"/>
  <c r="H3" i="107"/>
  <c r="H7" i="106"/>
  <c r="H6" i="106"/>
  <c r="H5" i="106"/>
  <c r="H4" i="106"/>
  <c r="H2" i="106"/>
  <c r="H7" i="105"/>
  <c r="H6" i="105"/>
  <c r="H5" i="105"/>
  <c r="H4" i="105"/>
  <c r="H2" i="105"/>
  <c r="H7" i="104"/>
  <c r="H6" i="104"/>
  <c r="H5" i="104"/>
  <c r="H4" i="104"/>
  <c r="H2" i="104"/>
  <c r="H7" i="103"/>
  <c r="H6" i="103"/>
  <c r="H5" i="103"/>
  <c r="H4" i="103"/>
  <c r="H2" i="103"/>
  <c r="H7" i="102"/>
  <c r="H6" i="102"/>
  <c r="H5" i="102"/>
  <c r="H4" i="102"/>
  <c r="H2" i="102"/>
  <c r="H7" i="101"/>
  <c r="H6" i="101"/>
  <c r="H5" i="101"/>
  <c r="H4" i="101"/>
  <c r="H2" i="101"/>
  <c r="H7" i="100"/>
  <c r="H6" i="100"/>
  <c r="H5" i="100"/>
  <c r="H4" i="100"/>
  <c r="H2" i="100"/>
  <c r="H7" i="99"/>
  <c r="H6" i="99"/>
  <c r="H5" i="99"/>
  <c r="H4" i="99"/>
  <c r="H2" i="99"/>
  <c r="H7" i="98"/>
  <c r="H6" i="98"/>
  <c r="H5" i="98"/>
  <c r="H4" i="98"/>
  <c r="H2" i="98"/>
  <c r="H8" i="91"/>
  <c r="H7" i="91"/>
  <c r="H7" i="97"/>
  <c r="H6" i="97"/>
  <c r="H5" i="97"/>
  <c r="H4" i="97"/>
  <c r="H2" i="97"/>
  <c r="H7" i="90"/>
  <c r="H6" i="90"/>
  <c r="H5" i="90"/>
  <c r="H14" i="89"/>
  <c r="H13" i="89"/>
  <c r="H12" i="89"/>
  <c r="H8" i="89"/>
  <c r="H7" i="89"/>
  <c r="H14" i="88"/>
  <c r="H13" i="88"/>
  <c r="H12" i="88"/>
  <c r="H8" i="88"/>
  <c r="H7" i="88"/>
  <c r="H14" i="87"/>
  <c r="H13" i="87"/>
  <c r="H12" i="87"/>
  <c r="H8" i="87"/>
  <c r="H7" i="87"/>
  <c r="H8" i="86"/>
  <c r="H7" i="86"/>
  <c r="H6" i="83"/>
  <c r="H5" i="83"/>
  <c r="H4" i="83"/>
  <c r="H3" i="83"/>
  <c r="H2" i="83"/>
  <c r="H6" i="82"/>
  <c r="H5" i="82"/>
  <c r="H4" i="82"/>
  <c r="H3" i="82"/>
  <c r="H2" i="82"/>
  <c r="H6" i="81"/>
  <c r="H5" i="81"/>
  <c r="H4" i="81"/>
  <c r="H3" i="81"/>
  <c r="H2" i="81"/>
  <c r="H6" i="80"/>
  <c r="H5" i="80"/>
  <c r="H4" i="80"/>
  <c r="H3" i="80"/>
  <c r="H2" i="80"/>
  <c r="H5" i="79"/>
  <c r="H4" i="79"/>
  <c r="H3" i="79"/>
  <c r="H2" i="79"/>
  <c r="H7" i="78"/>
  <c r="H6" i="78"/>
  <c r="H5" i="78"/>
  <c r="H4" i="78"/>
  <c r="H2" i="78"/>
  <c r="H7" i="77"/>
  <c r="H6" i="77"/>
  <c r="H5" i="77"/>
  <c r="H4" i="77"/>
  <c r="H2" i="77"/>
  <c r="H7" i="76"/>
  <c r="H6" i="76"/>
  <c r="H5" i="76"/>
  <c r="H4" i="76"/>
  <c r="H2" i="76"/>
  <c r="H7" i="75"/>
  <c r="H6" i="75"/>
  <c r="H5" i="75"/>
  <c r="H4" i="75"/>
  <c r="H2" i="75"/>
  <c r="H7" i="74"/>
  <c r="H6" i="74"/>
  <c r="H5" i="74"/>
  <c r="H4" i="74"/>
  <c r="H2" i="74"/>
  <c r="H7" i="73"/>
  <c r="H6" i="73"/>
  <c r="H5" i="73"/>
  <c r="H4" i="73"/>
  <c r="H2" i="73"/>
  <c r="H7" i="72"/>
  <c r="H6" i="72"/>
  <c r="H5" i="72"/>
  <c r="H4" i="72"/>
  <c r="H2" i="72"/>
  <c r="H7" i="71"/>
  <c r="H6" i="71"/>
  <c r="H5" i="71"/>
  <c r="H4" i="71"/>
  <c r="H2" i="71"/>
  <c r="H13" i="69"/>
  <c r="H12" i="69"/>
  <c r="H11" i="69"/>
  <c r="H10" i="69"/>
  <c r="H9" i="69"/>
  <c r="H8" i="69"/>
  <c r="H7" i="69"/>
  <c r="H3" i="69"/>
  <c r="H13" i="68"/>
  <c r="H12" i="68"/>
  <c r="H11" i="68"/>
  <c r="H10" i="68"/>
  <c r="H9" i="68"/>
  <c r="H8" i="68"/>
  <c r="H7" i="68"/>
  <c r="H3" i="68"/>
  <c r="H13" i="67"/>
  <c r="H12" i="67"/>
  <c r="H11" i="67"/>
  <c r="H10" i="67"/>
  <c r="H9" i="67"/>
  <c r="H8" i="67"/>
  <c r="H7" i="67"/>
  <c r="H3" i="67"/>
  <c r="H6" i="112"/>
  <c r="H5" i="112"/>
  <c r="H4" i="112"/>
  <c r="H3" i="112"/>
  <c r="H2" i="112"/>
  <c r="H13" i="66"/>
  <c r="H12" i="66"/>
  <c r="H11" i="66"/>
  <c r="H10" i="66"/>
  <c r="H9" i="66"/>
  <c r="H8" i="66"/>
  <c r="H7" i="66"/>
  <c r="H3" i="66"/>
  <c r="H13" i="65"/>
  <c r="H12" i="65"/>
  <c r="H11" i="65"/>
  <c r="H10" i="65"/>
  <c r="H9" i="65"/>
  <c r="H8" i="65"/>
  <c r="H7" i="65"/>
  <c r="H3" i="65"/>
  <c r="H13" i="64"/>
  <c r="H12" i="64"/>
  <c r="H11" i="64"/>
  <c r="H10" i="64"/>
  <c r="H9" i="64"/>
  <c r="H8" i="64"/>
  <c r="H7" i="64"/>
  <c r="H3" i="64"/>
  <c r="H13" i="63"/>
  <c r="H12" i="63"/>
  <c r="H11" i="63"/>
  <c r="H10" i="63"/>
  <c r="H9" i="63"/>
  <c r="H8" i="63"/>
  <c r="H7" i="63"/>
  <c r="H3" i="63"/>
  <c r="H13" i="62"/>
  <c r="H12" i="62"/>
  <c r="H11" i="62"/>
  <c r="H10" i="62"/>
  <c r="H9" i="62"/>
  <c r="H8" i="62"/>
  <c r="H7" i="62"/>
  <c r="H3" i="62"/>
  <c r="H20" i="61"/>
  <c r="H19" i="61"/>
  <c r="H18" i="61"/>
  <c r="H17" i="61"/>
  <c r="H16" i="61"/>
  <c r="H15" i="61"/>
  <c r="H14" i="61"/>
  <c r="H10" i="61"/>
  <c r="H8" i="61"/>
  <c r="H7" i="61"/>
  <c r="H3" i="61"/>
  <c r="H13" i="60"/>
  <c r="H12" i="60"/>
  <c r="H11" i="60"/>
  <c r="H10" i="60"/>
  <c r="H9" i="60"/>
  <c r="H8" i="60"/>
  <c r="H7" i="60"/>
  <c r="H3" i="60"/>
  <c r="H13" i="59"/>
  <c r="H12" i="59"/>
  <c r="H11" i="59"/>
  <c r="H10" i="59"/>
  <c r="H9" i="59"/>
  <c r="H8" i="59"/>
  <c r="H7" i="59"/>
  <c r="H3" i="59"/>
  <c r="H13" i="58"/>
  <c r="H12" i="58"/>
  <c r="H11" i="58"/>
  <c r="H10" i="58"/>
  <c r="H9" i="58"/>
  <c r="H8" i="58"/>
  <c r="H7" i="58"/>
  <c r="H3" i="58"/>
  <c r="H13" i="57"/>
  <c r="H12" i="57"/>
  <c r="H11" i="57"/>
  <c r="H10" i="57"/>
  <c r="H9" i="57"/>
  <c r="H8" i="57"/>
  <c r="H7" i="57"/>
  <c r="H3" i="57"/>
  <c r="H6" i="56"/>
  <c r="H5" i="56"/>
  <c r="H4" i="56"/>
  <c r="H3" i="56"/>
  <c r="H2" i="56"/>
  <c r="H14" i="55"/>
  <c r="H13" i="55"/>
  <c r="H12" i="55"/>
  <c r="H8" i="55"/>
  <c r="H7" i="55"/>
  <c r="H14" i="54"/>
  <c r="H13" i="54"/>
  <c r="H12" i="54"/>
  <c r="H8" i="54"/>
  <c r="H7" i="54"/>
  <c r="H8" i="53"/>
  <c r="H7" i="53"/>
  <c r="H27" i="51"/>
  <c r="H26" i="51"/>
  <c r="H25" i="51"/>
  <c r="H21" i="51"/>
  <c r="H20" i="51"/>
  <c r="H14" i="51"/>
  <c r="H13" i="51"/>
  <c r="H12" i="51"/>
  <c r="H8" i="51"/>
  <c r="H7" i="51"/>
  <c r="H43" i="48"/>
  <c r="H41" i="48"/>
  <c r="H39" i="48"/>
  <c r="H35" i="48"/>
  <c r="H34" i="48"/>
  <c r="H33" i="48"/>
  <c r="H32" i="48"/>
  <c r="H31" i="48"/>
  <c r="H30" i="48"/>
  <c r="H29" i="48"/>
  <c r="H26" i="48"/>
  <c r="H23" i="48"/>
  <c r="H22" i="48"/>
  <c r="H21" i="48"/>
  <c r="H20" i="48"/>
  <c r="H17" i="48"/>
  <c r="H14" i="48"/>
  <c r="H13" i="48"/>
  <c r="H12" i="48"/>
  <c r="H11" i="48"/>
  <c r="H5" i="48"/>
  <c r="H4" i="48"/>
  <c r="H3" i="48"/>
  <c r="H2" i="48"/>
  <c r="H6" i="46"/>
  <c r="H5" i="46"/>
  <c r="H4" i="46"/>
  <c r="H3" i="46"/>
  <c r="H2" i="46"/>
  <c r="H6" i="45"/>
  <c r="H5" i="45"/>
  <c r="H4" i="45"/>
  <c r="H3" i="45"/>
  <c r="H2" i="45"/>
  <c r="H6" i="43"/>
  <c r="H5" i="43"/>
  <c r="H4" i="43"/>
  <c r="H3" i="43"/>
  <c r="H2" i="43"/>
  <c r="H6" i="42"/>
  <c r="H5" i="42"/>
  <c r="H4" i="42"/>
  <c r="H3" i="42"/>
  <c r="H2" i="42"/>
  <c r="H6" i="41"/>
  <c r="H5" i="41"/>
  <c r="H4" i="41"/>
  <c r="H3" i="41"/>
  <c r="H2" i="41"/>
  <c r="H6" i="40"/>
  <c r="H5" i="40"/>
  <c r="H4" i="40"/>
  <c r="H3" i="40"/>
  <c r="H2" i="40"/>
  <c r="H6" i="39"/>
  <c r="H5" i="39"/>
  <c r="H4" i="39"/>
  <c r="H3" i="39"/>
  <c r="H2" i="39"/>
  <c r="H6" i="38"/>
  <c r="H5" i="38"/>
  <c r="H4" i="38"/>
  <c r="H3" i="38"/>
  <c r="H2" i="38"/>
  <c r="H6" i="37"/>
  <c r="H5" i="37"/>
  <c r="H4" i="37"/>
  <c r="H3" i="37"/>
  <c r="H2" i="37"/>
  <c r="H6" i="36"/>
  <c r="H5" i="36"/>
  <c r="H4" i="36"/>
  <c r="H3" i="36"/>
  <c r="H2" i="36"/>
  <c r="H6" i="35"/>
  <c r="H5" i="35"/>
  <c r="H4" i="35"/>
  <c r="H3" i="35"/>
  <c r="H2" i="35"/>
  <c r="H6" i="34"/>
  <c r="H5" i="34"/>
  <c r="H4" i="34"/>
  <c r="H3" i="34"/>
  <c r="H2" i="34"/>
  <c r="H6" i="44"/>
  <c r="H5" i="44"/>
  <c r="H4" i="44"/>
  <c r="H3" i="44"/>
  <c r="H2" i="44"/>
  <c r="H2" i="33"/>
  <c r="H9" i="32"/>
  <c r="H6" i="32"/>
  <c r="H5" i="32"/>
  <c r="H14" i="30"/>
  <c r="H13" i="30"/>
  <c r="H12" i="30"/>
  <c r="H8" i="30"/>
  <c r="H7" i="30"/>
  <c r="H5" i="29"/>
  <c r="H4" i="29"/>
  <c r="H14" i="28"/>
  <c r="H13" i="28"/>
  <c r="H12" i="28"/>
  <c r="H8" i="28"/>
  <c r="H7" i="28"/>
  <c r="H8" i="27"/>
  <c r="H7" i="27"/>
  <c r="H8" i="26"/>
  <c r="H7" i="26"/>
  <c r="H11" i="25"/>
  <c r="H10" i="25"/>
  <c r="H9" i="25"/>
  <c r="H5" i="25"/>
  <c r="H4" i="25"/>
  <c r="H14" i="24"/>
  <c r="H13" i="24"/>
  <c r="H12" i="24"/>
  <c r="H8" i="24"/>
  <c r="H7" i="24"/>
  <c r="H5" i="22"/>
  <c r="H4" i="22"/>
  <c r="H13" i="19"/>
  <c r="H12" i="19"/>
  <c r="H11" i="19"/>
  <c r="H10" i="19"/>
  <c r="H9" i="19"/>
  <c r="H8" i="19"/>
  <c r="H7" i="19"/>
  <c r="H3" i="19"/>
  <c r="H13" i="18"/>
  <c r="H12" i="18"/>
  <c r="H11" i="18"/>
  <c r="H10" i="18"/>
  <c r="H9" i="18"/>
  <c r="H8" i="18"/>
  <c r="H7" i="18"/>
  <c r="H3" i="18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7" i="17"/>
  <c r="H66" i="17"/>
  <c r="H63" i="17"/>
  <c r="H62" i="17"/>
  <c r="H61" i="17"/>
  <c r="H60" i="17"/>
  <c r="H59" i="17"/>
  <c r="H58" i="17"/>
  <c r="H57" i="17"/>
  <c r="H56" i="17"/>
  <c r="H54" i="17"/>
  <c r="H53" i="17"/>
  <c r="H52" i="17"/>
  <c r="H51" i="17"/>
  <c r="H50" i="17"/>
  <c r="H49" i="17"/>
  <c r="H48" i="17"/>
  <c r="H47" i="17"/>
  <c r="H46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8" i="17"/>
  <c r="H7" i="17"/>
  <c r="H6" i="17"/>
  <c r="H5" i="17"/>
  <c r="H4" i="17"/>
  <c r="H3" i="17"/>
  <c r="H2" i="17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H4" i="16"/>
  <c r="H3" i="16"/>
  <c r="H2" i="16"/>
  <c r="H20" i="15"/>
  <c r="H19" i="15"/>
  <c r="H18" i="15"/>
  <c r="H17" i="15"/>
  <c r="H16" i="15"/>
  <c r="H15" i="15"/>
  <c r="H14" i="15"/>
  <c r="H11" i="15"/>
  <c r="H10" i="15"/>
  <c r="H9" i="15"/>
  <c r="H7" i="15"/>
  <c r="H5" i="15"/>
  <c r="H4" i="15"/>
  <c r="H3" i="15"/>
  <c r="H2" i="15"/>
  <c r="H46" i="14"/>
  <c r="H45" i="14"/>
  <c r="H44" i="14"/>
  <c r="H43" i="14"/>
  <c r="H42" i="14"/>
  <c r="H41" i="14"/>
  <c r="H40" i="14"/>
  <c r="H39" i="14"/>
  <c r="H38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1" i="14"/>
  <c r="H20" i="14"/>
  <c r="H19" i="14"/>
  <c r="H18" i="14"/>
  <c r="H17" i="14"/>
  <c r="H16" i="14"/>
  <c r="H15" i="14"/>
  <c r="H12" i="14"/>
  <c r="H11" i="14"/>
  <c r="H10" i="14"/>
  <c r="H9" i="14"/>
  <c r="H8" i="14"/>
  <c r="H7" i="14"/>
  <c r="H6" i="14"/>
  <c r="H5" i="14"/>
  <c r="H4" i="14"/>
  <c r="H3" i="14"/>
  <c r="H2" i="14"/>
  <c r="H24" i="13"/>
  <c r="H23" i="13"/>
  <c r="H22" i="13"/>
  <c r="H21" i="13"/>
  <c r="H20" i="13"/>
  <c r="H19" i="13"/>
  <c r="H18" i="13"/>
  <c r="H17" i="13"/>
  <c r="H12" i="13"/>
  <c r="H11" i="13"/>
  <c r="H10" i="13"/>
  <c r="H9" i="13"/>
  <c r="H8" i="13"/>
  <c r="H7" i="13"/>
  <c r="H6" i="13"/>
  <c r="H5" i="13"/>
  <c r="H4" i="13"/>
  <c r="H3" i="13"/>
  <c r="H2" i="13"/>
  <c r="H15" i="12"/>
  <c r="H13" i="12"/>
  <c r="H12" i="12"/>
  <c r="H10" i="12"/>
  <c r="H7" i="12"/>
  <c r="H6" i="12"/>
  <c r="H5" i="12"/>
  <c r="H4" i="12"/>
  <c r="H3" i="12"/>
  <c r="H2" i="12"/>
  <c r="H10" i="10"/>
  <c r="H9" i="10"/>
  <c r="H8" i="10"/>
  <c r="H7" i="10"/>
  <c r="H6" i="10"/>
  <c r="H5" i="10"/>
  <c r="H4" i="10"/>
  <c r="H3" i="10"/>
  <c r="H2" i="10"/>
  <c r="H13" i="9"/>
  <c r="H10" i="9"/>
  <c r="H7" i="9"/>
  <c r="H6" i="9"/>
  <c r="H5" i="9"/>
  <c r="H4" i="9"/>
  <c r="H3" i="9"/>
  <c r="H2" i="9"/>
  <c r="H14" i="8"/>
  <c r="H13" i="8"/>
  <c r="H12" i="8"/>
  <c r="H11" i="8"/>
  <c r="H10" i="8"/>
  <c r="H9" i="8"/>
  <c r="H8" i="8"/>
  <c r="H7" i="8"/>
  <c r="H6" i="8"/>
  <c r="H5" i="8"/>
  <c r="H28" i="110"/>
  <c r="H27" i="110"/>
  <c r="H26" i="110"/>
  <c r="H25" i="110"/>
  <c r="H24" i="110"/>
  <c r="H21" i="110"/>
  <c r="H20" i="110"/>
  <c r="H19" i="110"/>
  <c r="H18" i="110"/>
  <c r="H17" i="110"/>
  <c r="H16" i="110"/>
  <c r="H15" i="110"/>
  <c r="H12" i="110"/>
  <c r="H11" i="110"/>
  <c r="H10" i="110"/>
  <c r="H9" i="110"/>
  <c r="H8" i="110"/>
  <c r="H7" i="110"/>
  <c r="H6" i="110"/>
  <c r="H4" i="110"/>
  <c r="H3" i="110"/>
  <c r="H2" i="110"/>
  <c r="H31" i="7"/>
  <c r="H30" i="7"/>
  <c r="H27" i="7"/>
  <c r="H26" i="7"/>
  <c r="H25" i="7"/>
  <c r="H24" i="7"/>
  <c r="H23" i="7"/>
  <c r="H22" i="7"/>
  <c r="H21" i="7"/>
  <c r="H8" i="7"/>
  <c r="H7" i="7"/>
  <c r="H6" i="7"/>
  <c r="H5" i="7"/>
  <c r="H20" i="6"/>
  <c r="H19" i="6"/>
  <c r="H18" i="6"/>
  <c r="H17" i="6"/>
  <c r="H16" i="6"/>
  <c r="H15" i="6"/>
  <c r="H14" i="6"/>
  <c r="H13" i="6"/>
  <c r="H12" i="6"/>
  <c r="H11" i="6"/>
  <c r="H4" i="6"/>
  <c r="H3" i="6"/>
  <c r="H2" i="6"/>
  <c r="H13" i="5"/>
  <c r="H12" i="5"/>
  <c r="H11" i="5"/>
  <c r="H10" i="5"/>
  <c r="H9" i="5"/>
  <c r="H8" i="5"/>
  <c r="H7" i="5"/>
  <c r="H6" i="5"/>
  <c r="H5" i="5"/>
  <c r="H4" i="5"/>
  <c r="H3" i="5"/>
  <c r="H2" i="5"/>
  <c r="H16" i="4"/>
  <c r="H15" i="4"/>
  <c r="H10" i="4"/>
  <c r="H9" i="4"/>
  <c r="H8" i="4"/>
  <c r="H3" i="4"/>
  <c r="H3" i="3"/>
  <c r="H2" i="3"/>
  <c r="H7" i="2"/>
  <c r="H6" i="2"/>
  <c r="H5" i="2"/>
  <c r="H4" i="2"/>
  <c r="H3" i="2"/>
  <c r="H2" i="2"/>
  <c r="H5" i="1"/>
</calcChain>
</file>

<file path=xl/sharedStrings.xml><?xml version="1.0" encoding="utf-8"?>
<sst xmlns="http://schemas.openxmlformats.org/spreadsheetml/2006/main" count="5029" uniqueCount="754">
  <si>
    <t xml:space="preserve"> 4214.00.П.04.ГРП.004.000.ВК.</t>
  </si>
  <si>
    <t>Демонтаж стальных водопроводных труб(159х4мм)</t>
  </si>
  <si>
    <t>км</t>
  </si>
  <si>
    <t>Демонтаж стальных водопроводных труб (219х4мм)</t>
  </si>
  <si>
    <t>Демонтаж защитной изоляции ПЭКОМ Ду 219х8</t>
  </si>
  <si>
    <t>Демонтаж защитной изоляции ПЭКОМ Ду 159х4 мм</t>
  </si>
  <si>
    <t>Шифр</t>
  </si>
  <si>
    <t>Вид работ</t>
  </si>
  <si>
    <t>Наименование работ</t>
  </si>
  <si>
    <t>Ед. изм.</t>
  </si>
  <si>
    <t>Количество (исходные по сметам)</t>
  </si>
  <si>
    <t>Норма расхода ресурса</t>
  </si>
  <si>
    <t xml:space="preserve"> 4214.00.П.04.ГРП.004.000.Т.</t>
  </si>
  <si>
    <t>Кран шаровой с пневмоприводом на условное давление 16 МПа. Диаметр условного прохода, мм 400. Арматура с пневматическим и гидравлическим приводом, применен коэффициент к нормам затрат труда рабочих-мо</t>
  </si>
  <si>
    <t>Кран шаровой с пневмоприводом на условное давление 12,5 МПа. Диаметр условного прохода, мм 300. Арматура с пневматическим и гидравлическим приводом, применен коэффициент к нормам затрат труда рабочих-</t>
  </si>
  <si>
    <t>Трубопроводы из стальных труб с фланцами и сварными стыками на условное давление не более 2,5 МПа из труб и готовых деталей на эстакадах, кронштейнах и других специальных конструкциях. Диаметр трубопр</t>
  </si>
  <si>
    <t>Трубопроводы из стальных труб с фланцами и сварными стыками на условное давление не более 2,5 МПа из готовых узлов в каналах и траншеях. Диаметр труб наружный, мм 32-38</t>
  </si>
  <si>
    <t xml:space="preserve"> 4214.00.П.04.ГРП.004.003.АС</t>
  </si>
  <si>
    <t>Демонтаж блок-боксов весом 16т</t>
  </si>
  <si>
    <t>т</t>
  </si>
  <si>
    <t>Разборка сборных железобетонных плит покрытия</t>
  </si>
  <si>
    <t>м3</t>
  </si>
  <si>
    <t>Демонтаж бетонных бортовых камней</t>
  </si>
  <si>
    <t>Разборка бетонного покрытия площадок</t>
  </si>
  <si>
    <t>Сбор строительного мусора бульдозером мощн.130л.с. с перемещением на 30м</t>
  </si>
  <si>
    <t>Увеличение перемещения на 20м</t>
  </si>
  <si>
    <t>тн</t>
  </si>
  <si>
    <t>Погрузка мусора строительного при автомобильных перевозках</t>
  </si>
  <si>
    <t>Перевозка на 27 км строительного мусора</t>
  </si>
  <si>
    <t xml:space="preserve"> 4214.00.П.04.ГРП.004.004.АС</t>
  </si>
  <si>
    <t>Разработка грунта в отвал экскаваторами "драглайн" или "обратная лопата" с ковшом вместимостью: 0,4 (0,3-0,45) м3, группа грунтов 2</t>
  </si>
  <si>
    <t>Разработка грунта вручную в траншеях шириной до 2 м, глубиной до 2 м, группа грунтов 2</t>
  </si>
  <si>
    <t>Разработка грунта с погрузкой на автомобили-самосвалы экскаваторами с ковшом вместимостью 1м3, группа грунтов 1 (ПОГРУЗКА)</t>
  </si>
  <si>
    <t>Засыпка траншей и котлованов с перемещением грунта до 5 м бульдозерами мощностью 130л.с., 2 группа грунтов</t>
  </si>
  <si>
    <t>Перевозка грунта на 11 км. ПРИМ.</t>
  </si>
  <si>
    <t>Демонтаж металлических опор</t>
  </si>
  <si>
    <t>Демонтаж бетонных монолитных фундаментов типа</t>
  </si>
  <si>
    <t>Демонтаж ж/бетонных опор</t>
  </si>
  <si>
    <t>Засыпка траншей и котлованов с перемещением грунта до 5 м бульдозерами мощностью 96 кВт (130 л.с.), группа грунтов 2</t>
  </si>
  <si>
    <t>При перемещении грунта на каждые последующие 5 м добавлять к норме 01-01-034-02</t>
  </si>
  <si>
    <t>Погрузка демонтированных металлоконструкций (металлолома)</t>
  </si>
  <si>
    <t>Перевозка на 34 км демонтированных металлоконструкций (металлолома)</t>
  </si>
  <si>
    <t xml:space="preserve"> 4214.00.П.04.ГРП.004.004.ТХ</t>
  </si>
  <si>
    <t>Демонтаж дренажной подземной установки ГБ 294.04.00.000 V</t>
  </si>
  <si>
    <t>шт</t>
  </si>
  <si>
    <t>Демонтаж задвижки клиновой фланцевой с ручным приводом 30с41нж ДУ50мм ру1,6 Мпа весом 0,032т</t>
  </si>
  <si>
    <t>Демонтаж вентиля запорного муфтового 15с57бк ДУ25мм ру1,6 Мпа весом 0,0045т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</si>
  <si>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57  5,5+1 -гр.4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</si>
  <si>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32  5,5+1,4 -гр.4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</si>
  <si>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108  1+0,6 -гр.4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</si>
  <si>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57  1,5+0,2 -гр.4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</si>
  <si>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32  3,5+0,6 -гр.4</t>
  </si>
  <si>
    <t>Погрузка демонтированных металлоконструкций (металлолома). ОБОРУДОВАНИЕ</t>
  </si>
  <si>
    <t>Погрузка демонтированных металлоконструкций (металлолома). АРМАТУРА</t>
  </si>
  <si>
    <t>Погрузка демонтированных металлоконструкций (металлолома) ТРУБОПРОВОД</t>
  </si>
  <si>
    <t>Погрузка демонтированных металлоконструкций (металлолома) ТРУБОПРОВОД ПОДЗЕМНЫЙ</t>
  </si>
  <si>
    <t>Перевозка на 34 км демонтированных металлоконструкций (металлолома) ОБОРУДОВАНИЕ</t>
  </si>
  <si>
    <t>Перевозка на 34 км демонтированных металлоконструкций (металлолома) АРМАТУРА</t>
  </si>
  <si>
    <t>Перевозка на 34 км демонтированных металлоконструкций (металлолома) ТРУБОПРОВОД</t>
  </si>
  <si>
    <t>Перевозка на 34 км демонтированных металлоконструкций (металлолома) ТРУБОПРОВОД ПОДЗЕМНЫЙ</t>
  </si>
  <si>
    <t xml:space="preserve"> 4214.00.П.04.ГРП.004.008.АС.</t>
  </si>
  <si>
    <t>Демонтаж трубопроводов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57</t>
  </si>
  <si>
    <t>Демонтаж трубопроводов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219</t>
  </si>
  <si>
    <t>Разработка грунта в отвал экскаваторами «драглайн» или «обратная лопата» с ковшом вместимостью 0,4 (0,3-0,45) м3, группа грунтов 3</t>
  </si>
  <si>
    <t>Разработка грунта с погрузкой на автомобили-самосвалы экскаваторами с ковшом вместимостью 0,4 (0,35-0,45) м3, группа грунтов 3</t>
  </si>
  <si>
    <t>Работа на отвале, группа грунтов 3</t>
  </si>
  <si>
    <t>Засыпка траншей и котлованов с перемещением грунта до 5 м бульдозерами мощностью 96 [130] кВт [л.с.], 3 группа грунтов (с перемещением на 20м)</t>
  </si>
  <si>
    <t>При перемещении грунта на каждые последующие 5 м добавлять к норме 01-01-034-03 (добавить 15м)</t>
  </si>
  <si>
    <t>Демонтаж панелей стен при вертикальных стыках, инъецируемых раствором, панели площадью до 12 м2</t>
  </si>
  <si>
    <t>Демонтаж панелей стен при вертикальных стыках, инъецируемых раствором, панели площадью до 15 м2</t>
  </si>
  <si>
    <t>Демонтаж плит перекрытий площадью до 5 м2 при наибольшей массе монтажных элементов более 5 т</t>
  </si>
  <si>
    <t>Демонтаж плит перекрытий площадью более 8м2</t>
  </si>
  <si>
    <t>Демонтаж сборных ж/б колпаков камер лаза и приборов на покрытии диам.более 1м</t>
  </si>
  <si>
    <t>Демонтаж обетонирования по периметру плит покрытия бетоном М300, объемом (1,06+0,2)м3</t>
  </si>
  <si>
    <t>Демонтаж лестниц прямолинейных и криволинейных, пожарных с ограждением</t>
  </si>
  <si>
    <t>Демонтаж конструкций люков</t>
  </si>
  <si>
    <t>Перевозка грунта на 7 км</t>
  </si>
  <si>
    <t xml:space="preserve"> 4214.00.П.04.ГРП.004.014.АС</t>
  </si>
  <si>
    <t>Разработка грунта с погрузкой на автомобили-самосвалы экскаваторами с ковшом вместимостью 0,4 (0,35-0,45) м3, группа грунтов 2</t>
  </si>
  <si>
    <t>Работа на отвале, группа грунтов 2</t>
  </si>
  <si>
    <t>Разработка грунта в траншеях и котлованах глубиной более 3 м вручную с подъемом краном при наличии креплений, группа грунтов 2</t>
  </si>
  <si>
    <t>Разработка грунта в траншеях и котлованах глубиной более 3 м вручную с подъемом краном при наличии креплений, группа грунтов 4</t>
  </si>
  <si>
    <t>Крепление досками стенок котлованов и траншей более 3 м, глубиной до 3 м в грунтах устойчивых (досками)</t>
  </si>
  <si>
    <t>Рытье котлованов глубиной до 2 м вручную без креплений в грунте 2 группы</t>
  </si>
  <si>
    <t>Перемещение разработанного грунта 2 группы бульдозером 130 л.с.на 10 м ( 20м )</t>
  </si>
  <si>
    <t>Дополнительное перемещение ранее разработанного грунта на 10м</t>
  </si>
  <si>
    <t>Перемещение разработанного грунта 3 группы бульдозером 130л.с. на 10м ( 20м )</t>
  </si>
  <si>
    <t>Обратное перемещение ранее разработанного грунта 2гр. бульдозером 130л.с. на 10м ( 20м )</t>
  </si>
  <si>
    <t>Обратное дополнительное перемещение ранее разработанного грунта на 10м</t>
  </si>
  <si>
    <t>Обратное перемещение ранее разработанного грунта 3гр. бульдозером 130л.с. на 10м( 20м )</t>
  </si>
  <si>
    <t>Засыпка траншей и котлованов с перемещением грунта до 5 м бульдозерами мощностью 96 кВт , 2 группа грунтов (с перемещением до 10м )</t>
  </si>
  <si>
    <t>Засыпка траншей и котлованов с перемещением грунта до 5 м бульдозерами мощностью 96 кВт , 3 группа грунтов (с перемещением до 10м )</t>
  </si>
  <si>
    <t>При перемещении грунта на каждые последующие 5 м добавлять к норме 01-01-034-03</t>
  </si>
  <si>
    <t>Засыпка вручную траншей, пазух котлованов и ям, группа грунтов 2</t>
  </si>
  <si>
    <t>Уплотнение грунта пневматическими трамбовками, группа грунтов 1-2</t>
  </si>
  <si>
    <t>Уплотнение грунта пневматическими трамбовками группа грунтов 3-4</t>
  </si>
  <si>
    <t>Разборка покрытий и оснований щебеночных</t>
  </si>
  <si>
    <t>Демонтаж монолитных фундаментов под оборудование бетон М150</t>
  </si>
  <si>
    <t>Демонтаж сборные ж/б прямоугольные плоских плит дорожных покрытий пл.до 3 м2</t>
  </si>
  <si>
    <t>Перевозка грунта  на 7 км</t>
  </si>
  <si>
    <t xml:space="preserve"> 4214.00.П.04.ГРП.004.014.ВК</t>
  </si>
  <si>
    <t>Демонтаж трубопроводов обвязки котлов, водонагревателей и насосов из стальных бесшовных и электросварных труб диаметром до 40 мм</t>
  </si>
  <si>
    <t>Демонтаж трубопроводов обвязки котлов, водонагревателей и насосов из стальных бесшовных и электросварных труб диаметром до 100 мм</t>
  </si>
  <si>
    <t>Демонтаж зонтов над шахтами из листовой стали круглого сечения диаметром 200 мм</t>
  </si>
  <si>
    <t>зонт</t>
  </si>
  <si>
    <t>Демонтаж вставок гибких к радиальным вентиляторам ВВ17, ВНА10</t>
  </si>
  <si>
    <t>м2</t>
  </si>
  <si>
    <t>Демонтаж воздуховодов из листовой стали и алюминия класса Н (нормальные) толщиной 1,0 мм, диаметром 200 мм</t>
  </si>
  <si>
    <t>Демонтаж вентиляторов радиальных массой до 0,05 т</t>
  </si>
  <si>
    <t>вентилятор</t>
  </si>
  <si>
    <t>Демонтаж трубопроводов в помещениях или на открытых площадках в пределах цехов на условное давление не более 2.5 МПа, диаметр трубопровода наружный, мм 219</t>
  </si>
  <si>
    <t>Демонтаж трубопроводов в помещениях или на открытых площадках в пределах цехов на условное давление не более 2.5 МПа, диаметр трубопровода наружный, мм 89</t>
  </si>
  <si>
    <t>Демонтаж арматуры фланцевой с ручным приводом или без привода водопроводная на условное давление до 4 МПа, диаметр условного прохода, мм 80</t>
  </si>
  <si>
    <t>Демонтаж арматуры фланцевой (клапан) с ручным приводом или без привода водопроводная на условное давление до 4 МПа, диаметр условного прохода, мм 80</t>
  </si>
  <si>
    <t>Демонтаж резервуара приемного Ду 1420мм</t>
  </si>
  <si>
    <t xml:space="preserve">Погрузка демонтированных металлоконструкций (металлолома) </t>
  </si>
  <si>
    <t>Демонтаж электронасоса погружного центробежного ГНОМ 10-10Т с электродвигателем массой агрегата до 0,1 т</t>
  </si>
  <si>
    <t>насос</t>
  </si>
  <si>
    <t>Демонтаж труб вентиляционных диаметром 3250 мм из листовой стали</t>
  </si>
  <si>
    <t>Демонтаж люка теплого (деревянного)</t>
  </si>
  <si>
    <t>100 м2 проемов</t>
  </si>
  <si>
    <t>Демонтаж м\к блок-контейнера</t>
  </si>
  <si>
    <t xml:space="preserve"> 4214.00.П.04.ГРП.004.021.АС.</t>
  </si>
  <si>
    <t>Засыпка траншей и котлованов с перемещением грунта до 5 м бульдозерами мощностью 96 кВт (130 л.с.), группа г(с перемещением на 20м)рунтов 3</t>
  </si>
  <si>
    <t xml:space="preserve"> 4214.00.П.04.ГРП.004.022.АС.</t>
  </si>
  <si>
    <t>Разборка бетонных фундаментов</t>
  </si>
  <si>
    <t>Разборка бетонных фундаментов (каналов)</t>
  </si>
  <si>
    <t>Разборка железобетонных фундаментов (ж/б опор)</t>
  </si>
  <si>
    <t>Разборка железобетонных фундаментов (ж/б плит)</t>
  </si>
  <si>
    <t>Сбор строительного мусора с перемещением до 10 м (на 30м) бульдозерами мощностью 96 (130) кВт (л.с.), 2 группа грунтов</t>
  </si>
  <si>
    <t>При перемещении мусора на каждые последующие 10 м добавлять к норме 01-01-031-2 (добавить 20м)</t>
  </si>
  <si>
    <t>Разработка грунта в отвал экскаваторами с ковшом вместимостью 0,4 м3, группа грунтов 2</t>
  </si>
  <si>
    <t xml:space="preserve"> 4214.00.П.04.ГРП.004.022.ТХ.</t>
  </si>
  <si>
    <t>Демонтаж факела вес 3,73т</t>
  </si>
  <si>
    <t>Демонтаж задвижки фланцевой ДУ50мм ру 0,3 Мпа весом 0,032т</t>
  </si>
  <si>
    <t>Трубопроводы из стальных труб с фланцами и сварными стыками на условное давление не более 2,5 МПа из готовых узлов в каналах и траншеях. Диаметр труб наружный, мм 57 200+1 -гр.4</t>
  </si>
  <si>
    <t>Погрузка демонтированных металлоконструкций (металлолома) ФАКЕЛ</t>
  </si>
  <si>
    <t>Погрузка демонтированных металлоконструкций (металлолома). ТРУБОПРОВОД</t>
  </si>
  <si>
    <t>Перевозка на 34 км демонтированных металлоконструкций (металлолома). ФАКЕЛ</t>
  </si>
  <si>
    <t>Перевозка на 34 км демонтированных металлоконструкций (металлолома). АРМАТУРА</t>
  </si>
  <si>
    <t>Перевозка на 34 км демонтированных металлоконструкций (металлолома). ТРУБОПРОВОД</t>
  </si>
  <si>
    <t>Перевозка на 34 км демонтированных металлоконструкций (металлолома). ТРУБОПРОВОД ПОДЗЕМНЫЙ</t>
  </si>
  <si>
    <t xml:space="preserve"> 4214.00.П.04.ГРП.004.025.АС.</t>
  </si>
  <si>
    <t>Разборка бетонных фундаментов  (каналов)</t>
  </si>
  <si>
    <t>Разработка грунта вручную в траншеях глубиной до 2 м без креплений с откосами, группа грунтов 2</t>
  </si>
  <si>
    <t xml:space="preserve"> 4214.00.П.04.ГРП.004.025.Т.</t>
  </si>
  <si>
    <t>Демонтаж задвижек фланцевых Ду15мм Ру12,5Мпа весом 0,009т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</si>
  <si>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32 28+5 -гр.4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</si>
  <si>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18 500+10 -гр.4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</si>
  <si>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57 320+27,5 -гр.4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</si>
  <si>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2.5 МПа. Диаметр трубопровода наружный, мм 57 79+18,2 -гр.4</t>
  </si>
  <si>
    <t>Погрузка демонтированных металлоконструкций (металлолома). ТРУБОПРОВОД ПОДЗЕМНЫЙ</t>
  </si>
  <si>
    <t>Перевозка на 34 км демонтированных металлоконструкций (металлолома).  АРМАТУРА</t>
  </si>
  <si>
    <t>Демонтаж фильтра для очистки газа от масла ТП В-70117 весом 5,9т</t>
  </si>
  <si>
    <t>Демонтаж клапана сбросного КС.00.000. ДУ200мм весом 0,107т</t>
  </si>
  <si>
    <t>Демонтаж задвижки фланцевой 31с45нж ДУ50мм ру16 Мпа весом 0,392т</t>
  </si>
  <si>
    <t>Демонтаж вентиля проходного запорного фланцевого 15с57бк1 ДУ25мм ру12,5 Мпа весом 0,064т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</si>
  <si>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10 МПа. Диаметр трубопровода наружный, мм 32</t>
  </si>
  <si>
    <t>Трубопроводы в помещениях или на открытых площадках в пределах цехов, монтируемые из труб и готовых деталей, на условное давление не более 10 МПа. Диаметр трубопровода наружный, мм 57</t>
  </si>
  <si>
    <t>Трубопроводы из стальных труб с фланцами и сварными стыками на условное давление не более 2,5 МПа из готовых узлов в каналах и траншеях. Диаметр труб наружный, мм 76</t>
  </si>
  <si>
    <t>Перевозка на 34 км демонтированных металлоконструкций (металлолома). ОБОРУДОВАНИЕ</t>
  </si>
  <si>
    <t xml:space="preserve"> 4214.01.П.04.ВЭЛ.000.000.ЭВ.</t>
  </si>
  <si>
    <t>Демонтаж промежуточной опоры ПоБ10-7 одностоечная на стойке СВ112-2с бетон В30</t>
  </si>
  <si>
    <t>опора</t>
  </si>
  <si>
    <t>Демонтаж анкерной опоры АтБ10-24 с 1 подкосом на стойках СВ112-2с бетон В30</t>
  </si>
  <si>
    <t>Демонтаж угловой анкерной опоры УАтБ10-24 с двумя подкосами В30 на стойках СВ112-2с бетон В30</t>
  </si>
  <si>
    <t>Демонтаж концевой опоры КтБ10-24 с 1 подкосом на стойках СВ112-2с бетон В30</t>
  </si>
  <si>
    <t>Демонтаж разъединителя и кабельной муфты на опоре КтБ10-24</t>
  </si>
  <si>
    <t>Демонтаж разъединителя АР-1 на опоре АтБ10-24</t>
  </si>
  <si>
    <t>Демонтаж ответвления УОП на существующей промежуточной опоре N74</t>
  </si>
  <si>
    <t>Демонтаж подвески проводов ВЛ 6-10 кВ в ненаселенной местности сечением свыше 35 мм2 вручную</t>
  </si>
  <si>
    <t>При увеличении количества опор на 1 км ВЛ добавлять к норме 33-04-009-04</t>
  </si>
  <si>
    <t>Демонтаж разъединителей</t>
  </si>
  <si>
    <t>комплект</t>
  </si>
  <si>
    <t>Демонтаж разрядников</t>
  </si>
  <si>
    <t>Погрузочные работы мусора</t>
  </si>
  <si>
    <t>Погрузо-разгрузочные работы металлолома</t>
  </si>
  <si>
    <t>Отвозка металлолома на 34 км</t>
  </si>
  <si>
    <t>Транспортировка мусора на 27 км</t>
  </si>
  <si>
    <t>Демонтаж трубопроводов из асбестоцементных труб с соединением стальными манжетами до 2-х отверстий</t>
  </si>
  <si>
    <t>канал-км</t>
  </si>
  <si>
    <t xml:space="preserve"> 4214.1.П.04.ГРП.4.000.ЭХЗ.ВР</t>
  </si>
  <si>
    <t>ДЕМОНТАЖ. Установка и монтаж одиночных протекторов марки ПМ-10У</t>
  </si>
  <si>
    <t>протектор</t>
  </si>
  <si>
    <t>ДЕМОНТАЖ. Установка электродов сравнения</t>
  </si>
  <si>
    <t>электрод</t>
  </si>
  <si>
    <t>ДЕМОНТАЖ. Установка одной стойки КИП с кабелями сечением 6 мм2</t>
  </si>
  <si>
    <t>КИП</t>
  </si>
  <si>
    <t>ДЕМОНТАЖ. Глубинное анодное заземление длиной 50м с размещением внутри скважины 1 комплекта заземлителей "Менделеевец-МГ"</t>
  </si>
  <si>
    <t>заземлитель</t>
  </si>
  <si>
    <t>Разработка грунта в отвал экскаваторами «драглайн» или «обратная лопата» с ковшом вместимостью 0,65 (0,5-1) м3, группа грунтов 2</t>
  </si>
  <si>
    <t>Разработка грунта вручную с креплениями в траншеях шириной до 2 м, глубиной до 2 м, группа грунтов 1</t>
  </si>
  <si>
    <t>Засыпка грунта экскаватором  с ковшом вместимостью 0,65 (0,5-1) м3, группа грунтов 2</t>
  </si>
  <si>
    <t>Засыпка вручную траншей, пазух котлованов и ям, группа грунтов 1</t>
  </si>
  <si>
    <t>Отвозка металлолома на 32 км</t>
  </si>
  <si>
    <t>Транспортировка мусора на 25 км</t>
  </si>
  <si>
    <t>ДЕМОНТАЖ. Преобразователь массой до 1 т</t>
  </si>
  <si>
    <t>шкаф</t>
  </si>
  <si>
    <t>ДЕМОНТАЖ. Блок резисторов до 660 В защищенного исполнения [в кожухе], устанавливаемый без стеллажа на конструкции на полу, масса, кг, до 50</t>
  </si>
  <si>
    <t>ДЕМОНТАЖ. Кабель до 35 кВ в готовых траншеях без покрытий, масса 1 м до 2 кг</t>
  </si>
  <si>
    <t>ДЕМОНТАЖ. Кабель до 35 кВ в проложенных трубах, блоках и коробах, масса 1 м кабеля до 2 кг</t>
  </si>
  <si>
    <t>ДЕМОНТАЖ. Кабель до 35 кВ с креплением накладными скобами, масса 1 м кабеля до 1 кг</t>
  </si>
  <si>
    <t>Транспортировка мусора</t>
  </si>
  <si>
    <t>4214.2.Р.04.ВЭЛ.000.000.АС3</t>
  </si>
  <si>
    <t>Промежуточная опора П10-115Л одностоечная на стойке СВ115.1, с траверсами без приставок  (вес м/к на 1 опору 26,3 кг) - монтаж</t>
  </si>
  <si>
    <t>Промежуточная опора П2-10-115П одностоечная на стойке СВ115.1, с траверсами без приставок  (вес м/к на 1 опору 133,8 кг) - монтаж</t>
  </si>
  <si>
    <t>Анкерная опора А(К)2-10-115 на стойках СВ115.1 с 1 подкосом, с металлическими плитами, с траверсами (вес м/к на 1 опору - 89,9 кг) - монтаж</t>
  </si>
  <si>
    <t>Анкерная опора А(К)2-10-115 с установкой разъединителя КРМб-1 и кабельной муфты на стойке СВ115.1 с 1 подкосом, с металлическими плитами, с траверсами (вес м/к на 1 опору - 89,9 кг) - монтаж</t>
  </si>
  <si>
    <t>Установка разъединителя КРМб-1 и кабельной муфты на анкерной опоре - монтаж</t>
  </si>
  <si>
    <t>Анкерная опора А(К)2-10-115 с установкой разъединителя КРб-1 на стойке СВ115.1 с 1 подкосом, с металлическими плитами, с траверсами (вес м/к на 1 опору - 89,9 кг) - монтаж</t>
  </si>
  <si>
    <t>Установка разъединителя КРб-1 на анкерной опоре - монтаж</t>
  </si>
  <si>
    <t>Анкерная опора А(К)2-10-115 с установкой пункта секциоирования типа АПС/NOVA (реклоузер) на стойке СВ115.1 с 1 подкосом, с металлическими плитами, с траверсами (вес м/к на 1 опору - 89,9 кг) - монтаж</t>
  </si>
  <si>
    <t>Установка пункта секциоирования типа АПС/NOVA (реклоузер) на анкерной опоре - монтаж</t>
  </si>
  <si>
    <t>Анкерная угловая опора АУ2-10-115 на стойках СВ115.1 с 2 подкосами, с металлическими плитами, с траверсами (вес м/к на 1 опору - 135,45 кг) - монтаж</t>
  </si>
  <si>
    <t>Анкерная ответвительная опора АО2-10-115 на стойках СВ115.1 с 1 подкосом, с металлическими плитами, с траверсами (вес м/к на 1 опору - 156,9 кг) - монтаж</t>
  </si>
  <si>
    <t>Угловая ответвительная анкерная опора УОА2-10-115 на стойках СВ115.1 с 2-мя подкосами, с металлическими плитами, с траверсами  (вес м/к на 1 опору 157,5 кг) - монтаж</t>
  </si>
  <si>
    <t>Промежуточная опора П10-К22 одностоечная на стойке СК 22.1-1.1 из бетона кл В30, V-1,93м3, с траверсами без приставок  (вес м/к на 1 опору 73,72 кг) - монтаж</t>
  </si>
  <si>
    <t>Анкерная угловая опора АУ10-К22 одностоечная на стойке СК 22.2-1.1 из бетона кл В30, V-2,57м3, с траверсами без приставок  (вес м/к на 1 опору 103,12 кг) - монтаж</t>
  </si>
  <si>
    <t>Анкерная ответвительная опора АО10-К22 одностоечная на стойке СК 22.2-1.1 из бетона кл В30, V-2,57м3, с траверсами без приставок  (вес м/к на 1 опору 146,38 кг) - монтаж</t>
  </si>
  <si>
    <t>Анкерная угловая ответвительная опора УОА10-К22 одностоечная на стойке СК 22.2-1.1 из бетона кл В30, V-2,57м3, с траверсами без приставок  (вес м/к на 1 опору 175,55 кг) - монтаж</t>
  </si>
  <si>
    <t>Демонтаж анкерной опоры А10-11 с пунктом секциоирования типа АПС</t>
  </si>
  <si>
    <t>Демонтаж пункта секциоирования типа АПС на анкерной опоре</t>
  </si>
  <si>
    <t>Демонтаж анкерной опоры А10-11 с  разъединителем КРб-1</t>
  </si>
  <si>
    <t>Демонтаж разъединителя КРб-1 на анкерной опоре - монтаж</t>
  </si>
  <si>
    <t>Демонтаж анкерной опоры А10-11 с  разъединителем КРМб-1 и кабельной муфтой</t>
  </si>
  <si>
    <t>Демонтаж разъединителя КРМб-1 и кабельной муфты на анкерной опоре</t>
  </si>
  <si>
    <t>Анкерная опора А10-11 с установкой пункта секциоирования типа АПС на стойке СВ115.1 с 1 подкосом, с металлическими плитами, с траверсами (вес м/к на 1 опору - 90,8 кг) - монтаж (ранее демонтированная)</t>
  </si>
  <si>
    <t>Установка пункта секциоирования типа АПС на анкерной опоре - монтаж  (ранее демонтированный)</t>
  </si>
  <si>
    <t>Анкерная опора А10-11 с установкой разъединителя КРб-1 на стойке СВ115.1 с 1 подкосом, с металлическими плитами, с траверсами (вес м/к на 1 опору - 90,8 кг) - монтаж  (ранее демонтированная)</t>
  </si>
  <si>
    <t>Установка разъединителя КРб-1 на анкерной опоре - монтаж  (ранее демонтированный)</t>
  </si>
  <si>
    <t>Анкерная опора А10-11 с установкой разъединителя КРМб-1 и кабельной муфты на стойке СВ115.1 с 1 подкосом, с металлическими плитами, с траверсами (вес м/к на 1 опору - 90,8 кг) - монтаж  (ранее демонтированная)</t>
  </si>
  <si>
    <t>Установка разъединителя КРМб-1 и кабельной муфты на анкерной опоре - монтаж  (ранее демонтированный)</t>
  </si>
  <si>
    <t>Транспорт стальных конструкций  опор на расстояние до   км</t>
  </si>
  <si>
    <t>Транспорт ж/бетонных стоек СВ115.1 на расстояние  км, вес 1шт-1,7т</t>
  </si>
  <si>
    <t>Транспорт ж/бетонных стоек СК 22.1-1.1 на расстояние  км, вес 1шт-4,819т</t>
  </si>
  <si>
    <t>Транспорт ж/бетонных стоек СК 22.2-1.1 на расстояние  км, вес 1шт-6,418т</t>
  </si>
  <si>
    <t>Устройство боковой обмазочной изоляции ж/б стоек и подкосов горячим битумом за 2 раза</t>
  </si>
  <si>
    <t>Устройство отмостка толщиной 200мм из грунта обратной засыпки диаметром 1000мм</t>
  </si>
  <si>
    <t>Промежуточная опора П10-115Л с устройством ответвления УО-11 одностоечная на стойке СВ115.1, с траверсами без приставок  (вес м/к на 1 опору 26,3 кг) - монтаж</t>
  </si>
  <si>
    <t>Установка устройства ответвления УО-11 на промежуточной опоре - монтаж</t>
  </si>
  <si>
    <t>Промежуточная опора П10-115Л с установкой разъединителя ПРб-1 одностоечная на стойке СВ115.1, с траверсами без приставок  (вес м/к на 1 опору 26,3 кг) - монтаж</t>
  </si>
  <si>
    <t>Установка разъединителя ПРб-1 на промежуточной опоре - монтаж</t>
  </si>
  <si>
    <t>Демонтаж железобетонных промежуточных опор (вес 1шт-2т)</t>
  </si>
  <si>
    <t>Демонтаж железобетонных анкерных опор (вес 1шт-5т)</t>
  </si>
  <si>
    <t>Автотранспорт, погрузка: металлолом</t>
  </si>
  <si>
    <t>Автотранспорт, разгрузка: металлолом</t>
  </si>
  <si>
    <t>4214.2.Р.04.ВЭЛ.000.000.ЭВ3</t>
  </si>
  <si>
    <t>1 ВЛ З 10кВ (линия1)</t>
  </si>
  <si>
    <t>Подвеска проводов ВЛ 10 кВ на переходах через препятствия автомобильные дороги 2 и 3 категории с двумя линиями связи</t>
  </si>
  <si>
    <t>переход</t>
  </si>
  <si>
    <t>Подвеска проводов ВЛ 10 кВ на переходах через препятствия автомобильные дороги 2 и 3 категории с двумя линиями связи (ЭХЗ)</t>
  </si>
  <si>
    <t>Подвеска проводов ВЛ 6-10 кВ в ненаселенной местности сечением свыше 35 мм2 вручную</t>
  </si>
  <si>
    <t>Погрузка барабанов с проводом</t>
  </si>
  <si>
    <t>Разгрузка барабанов с проводом</t>
  </si>
  <si>
    <t>Транспортировка барабанов с проводом</t>
  </si>
  <si>
    <t>Обратная транспортировка барабанов с проводом</t>
  </si>
  <si>
    <t>Установка разъединителей вручную; /Установка разъединителей или (ограничитель перенапряжений нелинейный) вручную/</t>
  </si>
  <si>
    <t>Установка разрядников вручную</t>
  </si>
  <si>
    <t>Установка разрядников вручную ОПН)</t>
  </si>
  <si>
    <t>Присоединение к зажимам жил проводов или кабелей сечением до 150 мм2</t>
  </si>
  <si>
    <t>Установка устройств защиты птиц от повреждения электическим током</t>
  </si>
  <si>
    <t>Муфта концевая эпоксидная для 3-жильного кабеля напряжением до 10 кВ, сечение одной жилы до 120 мм2</t>
  </si>
  <si>
    <t>Забивка вертикальных заземлителей механизированная на глубину до 5 м</t>
  </si>
  <si>
    <t>Установка оборудования пунктов секционирования на железобетонных стойках опор ВЛ</t>
  </si>
  <si>
    <t>пункт</t>
  </si>
  <si>
    <t>2 ВЛ З 10кВ (линия2)</t>
  </si>
  <si>
    <t>Установка разъединителей вручную</t>
  </si>
  <si>
    <t>Установка разрядников вручную(ОПН)</t>
  </si>
  <si>
    <t>Демонтаж существующей ВЛ 10кВ (линия1)</t>
  </si>
  <si>
    <t>Демонтаж 3-х проводов ВЛ 10 кВ - 3032 кг (без дальнейшего использования)</t>
  </si>
  <si>
    <t>Демонтаж существующей ВЛ 10кВ (линия2)</t>
  </si>
  <si>
    <t>Демонтаж 3-х проводов ВЛ 10 кВ - 2780 кг (без дальнейшего использования)</t>
  </si>
  <si>
    <t>Кабельная линия 10кВ (В1-№41-№42)</t>
  </si>
  <si>
    <t>Кабель до 35 кВ с креплением накладными скобами, масса 1 м кабеля до 6 кг</t>
  </si>
  <si>
    <t>Кабель до 35 кВ в проложенных трубах, блоках и коробах, масса 1 м кабеля до 6 кг</t>
  </si>
  <si>
    <t>Заделка концевая сухая для 3-4-жильного кабеля с пластмассовой и резиновой изоляцией напряжением до 10 кВ, сечение одной жилы до 70 мм2</t>
  </si>
  <si>
    <t>Присоединение к зажимам жил проводов или кабелей сечением до 70 мм2</t>
  </si>
  <si>
    <t>Кабель до 35 кВ в готовых траншеях без покрытий, масса 1 м до 6 кг</t>
  </si>
  <si>
    <t>Труба стальная по установленным конструкциям, по фермам, колоннам и другим стальным конструкциям, диаметр до 100 мм</t>
  </si>
  <si>
    <t>Устройство трубопроводов из хризотилцементных труб с соединением стальными манжетами до 2 отверстий</t>
  </si>
  <si>
    <t>Разработка грунта в траншеях экскаватором «обратная лопата» с ковшом вместимостью 0,65 (0,5-1) м3, группа грунтов: 2</t>
  </si>
  <si>
    <t>Кабельная линия 10кВ (В1-№53-№54)</t>
  </si>
  <si>
    <t>Кабельная линия 10кВ (В1-№65-№66)</t>
  </si>
  <si>
    <t>Демонтаж и монтаж существующих  линий 1,2ВЛ 10 кВк пл. КОС</t>
  </si>
  <si>
    <t>Демонтаж 3-х проводов ВЛ 10 кВ - 16,5 кг (без дальнейшего использования)</t>
  </si>
  <si>
    <t>Демонтаж разъединителей вручную -296 кг(применительно)</t>
  </si>
  <si>
    <t>Демонтаж муфты -1,4 кг(применительно)</t>
  </si>
  <si>
    <t>Установка устройств защиты птиц от поражения электрическимтоком вручную</t>
  </si>
  <si>
    <t>Демонтаж  оборудования пунктов секционирования на железобетонных стойках опор ВЛ</t>
  </si>
  <si>
    <t>Демонтажм кабеля до 35 кВ в готовых траншеях без покрытий, масса 1 м до 6 кг</t>
  </si>
  <si>
    <t>Демонтажм кабеля до 35 кВ с креплением накладными скобами, масса 1 м кабеля до 6 кг</t>
  </si>
  <si>
    <t>4214.2.Р.04.Шг.4.000.АС10</t>
  </si>
  <si>
    <t>Разработка грунта с перемещением до 10 м бульдозерами мощностью 59 кВт (80 л.с.), группа грунтов 2(во временный отвал)</t>
  </si>
  <si>
    <t xml:space="preserve">Разработка грунта вручную в траншеях глубиной до 2 м без креплений с откосами, группа грунтов 1 </t>
  </si>
  <si>
    <t>Разработка грунта с погрузкой на автомобили-самосвалы в котлованах объемом до 500 м3 экскаваторами с ковшом вместимостью 0,4 (0,35-0,45) м3, группа грунтов 1</t>
  </si>
  <si>
    <t>Засыпка траншей и котлованов с перемещением грунта до 5 м бульдозерами мощностью 59 кВт (80 л.с.), группа грунтов 2</t>
  </si>
  <si>
    <t>При перемещении грунта на каждые последующие 5 м добавлять к норме 01-01-033-02   (до 10м)</t>
  </si>
  <si>
    <t>Засыпка вручную, группа грунтов 1</t>
  </si>
  <si>
    <t xml:space="preserve">Уплотнение грунта пневматическими трамбовками, группа грунтов 1-2 </t>
  </si>
  <si>
    <t>Устройство основания из песка средней крупности толщиной 100мм</t>
  </si>
  <si>
    <t>Устройство дорожных покрытий из сборных прямоугольных железобетонных плит площадью свыше 10,5 м2</t>
  </si>
  <si>
    <t>Устройство покрытия из тротуарных плит по цементно-песчанной смеси состава 1:10, толщиной 50 мм с заполнением швов цементно-песчанной смесью состава 1:3</t>
  </si>
  <si>
    <t>Устройство бетонных плитных тротуаров с заполнением швов цементно-песчанной смесью</t>
  </si>
  <si>
    <t xml:space="preserve">Установка бортовых камней бетонных </t>
  </si>
  <si>
    <t>4214.2.Р.04.Шг.4.000.АС11</t>
  </si>
  <si>
    <t>4214.2.Р.04.Шг.4.000.АС12</t>
  </si>
  <si>
    <t>4214.2.Р.04.Шг.4.000.АС13</t>
  </si>
  <si>
    <t>4214.2.Р.04.Шг.4.000.АС14</t>
  </si>
  <si>
    <t>4214.2.Р.04.Шг.4.000.АС15</t>
  </si>
  <si>
    <t>4214.2.Р.04.Шг.4.000.АС16</t>
  </si>
  <si>
    <t>4214.2.Р.04.Шг.4.000.АС17</t>
  </si>
  <si>
    <t>4214.2.Р.04.Шг.4.000.АС8</t>
  </si>
  <si>
    <t>4214.2.Р.04.Шг.4.000.АС18</t>
  </si>
  <si>
    <t>4214.2.Р.04.Шг.4.000.АС19</t>
  </si>
  <si>
    <t>4214.2.Р.04.Шг.4.000.АС20</t>
  </si>
  <si>
    <t>4214.2.Р.04.Шг.4.000.АС21</t>
  </si>
  <si>
    <t>4214.2.Р.04.Шг.4.000.АС22</t>
  </si>
  <si>
    <t>4214.2.Р.04.Шг.4.000.АС23</t>
  </si>
  <si>
    <t>4214.2.Р.04.Шг.4.000.АС24</t>
  </si>
  <si>
    <t>4214.2.Р.04.Шг.4.000.АС25</t>
  </si>
  <si>
    <t>4214.2.Р.04.Шг.4.000.ЭГ5</t>
  </si>
  <si>
    <t xml:space="preserve">Разработка грунта вручную в траншеях глубиной до 2 м без креплений с откосами, группа грунтов 2  </t>
  </si>
  <si>
    <t xml:space="preserve">Заземлитель горизонтальный из стали полосовой сечением 160 мм2 </t>
  </si>
  <si>
    <t xml:space="preserve">Заземлитель вертикальный из круглой стали диаметром 16 мм </t>
  </si>
  <si>
    <t xml:space="preserve">Проводник заземляющий открыто по строительным основаниям из полосовой стали сечением 160 мм2 </t>
  </si>
  <si>
    <t>Обратная засыпка грунта</t>
  </si>
  <si>
    <t>4214.2.Р.04.Шг.4.000.ЭГ6</t>
  </si>
  <si>
    <t>4214.2.Р.04.Шг.4.000.ЭГ7</t>
  </si>
  <si>
    <t>4214.2.Р.04.Шг.4.000.АС9</t>
  </si>
  <si>
    <t>4214.2.Р.04.Шг.4.000.ЭГ8</t>
  </si>
  <si>
    <t>4214.2.Р.04.Шг.4.000.ЭГ9</t>
  </si>
  <si>
    <t>4214.2.Р.04.Шг.4.000.ЭГ10</t>
  </si>
  <si>
    <t>4214.2.Р.04.Шг.4.000.ЭГ11</t>
  </si>
  <si>
    <t>Обрантая засыпка грунта</t>
  </si>
  <si>
    <t>4214.2.Р.04.Шг.4.000.ЭГ12</t>
  </si>
  <si>
    <t>4214.2.Р.04.Шг.4.000.ЭГ13</t>
  </si>
  <si>
    <t>4214.2.Р.04.Шг.4.000.ЭГ14</t>
  </si>
  <si>
    <t>4214.2.Р.04.Шг.4.000.ЭГ15</t>
  </si>
  <si>
    <t>4214.2.Р.04.Шг.4.000.ЭГ16</t>
  </si>
  <si>
    <t>4214.2.Р.04.Шг.4.000.ЭГ17</t>
  </si>
  <si>
    <t>4214.2.Р.04.Шг.4.000.ЭГ18</t>
  </si>
  <si>
    <t>4214.2.Р.04.Шг.4.000.ЭГ19</t>
  </si>
  <si>
    <t>4214.2.Р.04.Шг.4.000.ЭГ20</t>
  </si>
  <si>
    <t>4214.2.Р.04.Шг.4.000.ЭГ21</t>
  </si>
  <si>
    <t>4214.2.Р.04.Шг.4.000.ЭГ22</t>
  </si>
  <si>
    <t>4214.2.Р.04.Шг.4.000.ГП1</t>
  </si>
  <si>
    <t>Срезка почвенно-растительного грунта 2 группы слоем 0,30м бульдозером мощностью 130 л.с. с перемещением его в отвал на расстояние до 10м</t>
  </si>
  <si>
    <t>Погрузка лишнего растительного грунта экскаватором с ковшом вместимостью 0,4 (0,35-0,45) м3 для дальнейшего использования в целях рекультивации, группа грунтов 2 (в отвал)</t>
  </si>
  <si>
    <t>Уплотнение насыпи площадки послойно катками на пневмоколесном ходу 25 т при толщине уплотняемого слоя 0,25м</t>
  </si>
  <si>
    <t>На каждый последующий проход по одному следу добавлять к норме 01-02-001-01</t>
  </si>
  <si>
    <t>Полив водой уплотняемого грунта насыпей</t>
  </si>
  <si>
    <t xml:space="preserve">Планировка откосов и полотна насыпей механизированным способом, группа грунтов 2 </t>
  </si>
  <si>
    <t>4214.2.Р.04.Шг.4.000.ГП10</t>
  </si>
  <si>
    <t xml:space="preserve">Укрепление откосов земляных сооружений посевом многолетних трав: механизированным способом </t>
  </si>
  <si>
    <t>Перемещение грунта до 10 м бульдозерами мощностью 96 (130) кВт (л.с.), 2 группа грунтов</t>
  </si>
  <si>
    <t>При перемещении грунта на каждые последующие 10 м добавлять к норме 01-01-031-02</t>
  </si>
  <si>
    <t>Уплотнение грунта насыпи валиков пневматическими трамбовками, группа грунтов 2</t>
  </si>
  <si>
    <t>Планировка верха и откосов валика ручным способом, группа грунтов 2</t>
  </si>
  <si>
    <t>Укрепление откосов земляных сооружений посевом многолетних трав с подсыпкой растительной земли вручную</t>
  </si>
  <si>
    <t>4214.2.Р.04.Шг.4.000.ГП11</t>
  </si>
  <si>
    <t>1.1.171.63 ГП. ВЕРТИКАЛЬНАЯ ПЛАНИРОВКА. ЗЕМЛЯНЫЕ РАБОТЫ. СРЕЗКА ГРУНТА. ГП11. БКЭС №4.11</t>
  </si>
  <si>
    <t>Погрузка лишнего растительного грунта экскаватором с ковшом вместимостью 0,4 (0,35-0,45) м3 для дальнейшего использования в целях рекультивации, группа грунтов 2¶(в отвал)</t>
  </si>
  <si>
    <t>1.1.171.63 ГП. ВЕРТИКАЛЬНАЯ ПЛАНИРОВКА. УСТРОЙСТВО НАСЫПИ. ГП11. БКЭС №4.11</t>
  </si>
  <si>
    <t>1.1.171.62 ГП. ИНЖЕНЕРНАЯ ЗАЩИТА. ИНЖЕНЕРНАЯ ЗАЩИТА. ГП11. БКЭС №4.11</t>
  </si>
  <si>
    <t>1.1.171.62 ГП. ИНЖЕНЕРНАЯ ЗАЩИТА. ВОДООТВОДНОЙ ВАЛИК. ГП11. БКЭС №4.11</t>
  </si>
  <si>
    <t>4214.2.Р.04.Шг.4.000.ГП12</t>
  </si>
  <si>
    <t>1.1.171.63 ГП. ВЕРТИКАЛЬНАЯ ПЛАНИРОВКА. ЗЕМЛЯНЫЕ РАБОТЫ. СРЕЗКА ГРУНТА. ГП12. БКЭС №4.12</t>
  </si>
  <si>
    <t>1.1.171.63 ГП. ВЕРТИКАЛЬНАЯ ПЛАНИРОВКА.  УСТРОЙСТВО НАСЫПИ. ГП12. БКЭС №4.112</t>
  </si>
  <si>
    <t>1.1.171.62 ГП. ИНЖЕНЕРНАЯ ЗАЩИТА.  ИНЖЕНЕРНАЯ ЗАЩИТА. ГП12. БКЭС №4.12</t>
  </si>
  <si>
    <t>1.1.171.62 ГП. ИНЖЕНЕРНАЯ ЗАЩИТА. ВОДООТВОДНОЙ ВАЛИК. ГП12. БКЭС №4.12</t>
  </si>
  <si>
    <t>4214.2.Р.04.Шг.4.000.ГП13</t>
  </si>
  <si>
    <t>1.1.171.63 ГП. ВЕРТИКАЛЬНАЯ ПЛАНИРОВКА.   ЗЕМЛЯНЫЕ РАБОТЫ. СРЕЗКА ГРУНТА. ГП13. БКЭС №4.13</t>
  </si>
  <si>
    <t>1.1.171.63 ГП. ВЕРТИКАЛЬНАЯ ПЛАНИРОВКА. УСТРОЙСТВО НАСЫПИ. ГП13. БКЭС №4.13</t>
  </si>
  <si>
    <t>1.1.171.62 ГП. ИНЖЕНЕРНАЯ ЗАЩИТА. ИНЖЕНЕРНАЯ ЗАЩИТА. ГП13. БКЭС №4.13</t>
  </si>
  <si>
    <t>1.1.171.62 ГП. ИНЖЕНЕРНАЯ ЗАЩИТА. ВОДООТВОДНОЙ ВАЛИК. ГП13. БКЭС №4.13</t>
  </si>
  <si>
    <t>4214.2.Р.04.Шг.4.000.ГП14</t>
  </si>
  <si>
    <t>1.1.171.63 ГП. ВЕРТИКАЛЬНАЯ ПЛАНИРОВКА. ЗЕМЛЯНЫЕ РАБОТЫ. СРЕЗКА ГРУНТА. ГП14. БКЭС №4.14</t>
  </si>
  <si>
    <t>1.1.171.63 ГП. ВЕРТИКАЛЬНАЯ ПЛАНИРОВКА.  УСТРОЙСТВО НАСЫПИ. ГП14. БКЭС №4.14</t>
  </si>
  <si>
    <t>1.1.171.62 ГП. ИНЖЕНЕРНАЯ ЗАЩИТА. ИНЖЕНЕРНАЯ ЗАЩИТА. ГП14. БКЭС №4.14</t>
  </si>
  <si>
    <t>4214.2.Р.04.Шг.4.000.ГП15</t>
  </si>
  <si>
    <t>4214.2.Р.04.Шг.4.000.ГП16</t>
  </si>
  <si>
    <t>4214.2.Р.04.Шг.4.000.ГП17</t>
  </si>
  <si>
    <t>4214.2.Р.04.Шг.4.000.ГП18</t>
  </si>
  <si>
    <t>4214.2.Р.04.Шг.4.000.ГП19</t>
  </si>
  <si>
    <t>4214.2.Р.04.Шг.4.000.ГП2</t>
  </si>
  <si>
    <t>4214.2.Р.04.Шг.4.000.ГП3</t>
  </si>
  <si>
    <t>4214.2.Р.04.Шг.4.000.ГП4</t>
  </si>
  <si>
    <t>Планировка откосов и полотна насыпей механизированным способом, группа грунтов 2 154+66-гр.4</t>
  </si>
  <si>
    <t>4214.2.Р.04.Шг.4.000.ГП5</t>
  </si>
  <si>
    <t>4214.2.Р.04.Шг.4.000.ГП6</t>
  </si>
  <si>
    <t>4214.2.Р.04.Шг.4.000.ГП7</t>
  </si>
  <si>
    <t>4214.2.Р.04.Шг.4.000.ГП8</t>
  </si>
  <si>
    <t>4214.2.Р.04.Шг.4.000.ГП9</t>
  </si>
  <si>
    <t xml:space="preserve"> 4214.2.Р.04.ШГ.4.000.Л.000</t>
  </si>
  <si>
    <t>Планировка площадей бульдозерами мощностью 132 (180) кВт (л.с.) ТЕР-2001 64</t>
  </si>
  <si>
    <t>Доработка грунта вручную (1%)</t>
  </si>
  <si>
    <t>Подъем на бровку траншеи и укладка на лежки трубопровода условным диаметром 168мм ТЕР-2001 64</t>
  </si>
  <si>
    <t>Резка на бровке траншеи трубопровода условным диаметром 500мм, толщина стенки 12мм (Ду168мм) ТЕР-2001 64</t>
  </si>
  <si>
    <t>рез</t>
  </si>
  <si>
    <t>Засыпка траншей и котлованов с перемещением грунта до 5 м бульдозерами мощностью 96 кВт (130 л.с.), группа грунтов 2 ТЕР-2001 64</t>
  </si>
  <si>
    <t>Погрузка демонтированного трубопровода (металлолома)</t>
  </si>
  <si>
    <t>Перевозка на 35 км демонтированных металлоконструкций (металлолома)</t>
  </si>
  <si>
    <t>4214.2.Р.04.Шг.4.000.ЭМ1</t>
  </si>
  <si>
    <t>Установка зданий из спаренных и одиночных блок-боксов (Установка блок-контейнера на основание БКЭС)</t>
  </si>
  <si>
    <t>4214.2.Р.04.Шг.4.000.ЭМ10</t>
  </si>
  <si>
    <t>Монтаж приборов и аппаратов, снятые перед транспортировкой (пожарная сигнализация)</t>
  </si>
  <si>
    <t>Монтаж приборов и аппаратов, снятые перед транспортировкой (охранная сигнализация)</t>
  </si>
  <si>
    <t>Светильники наружного освещения, снятые перед транспортировкой</t>
  </si>
  <si>
    <t>Подключение БКЭС к основному контуру заземления</t>
  </si>
  <si>
    <t>4214.2.Р.04.Шг.4.000.ЭМ11</t>
  </si>
  <si>
    <t>4214.2.Р.04.Шг.4.000.ЭМ12</t>
  </si>
  <si>
    <t>4214.2.Р.04.Шг.4.000.ЭМ13</t>
  </si>
  <si>
    <t>4214.2.Р.04.Шг.4.000.ЭМ14</t>
  </si>
  <si>
    <t>4214.2.Р.04.Шг.4.000.ЭМ15</t>
  </si>
  <si>
    <t>4214.2.Р.04.Шг.4.000.ЭМ16</t>
  </si>
  <si>
    <t>4214.2.Р.04.Шг.4.000.ЭМ17</t>
  </si>
  <si>
    <t>4214.2.Р.04.Шг.4.000.ЭМ18</t>
  </si>
  <si>
    <t>4214.2.Р.04.Шг.4.000.ЭМ19</t>
  </si>
  <si>
    <t>4214.2.Р.04.Шг.4.000.ЭМ2</t>
  </si>
  <si>
    <t>4214.2.Р.04.Шг.4.000.ЭМ3</t>
  </si>
  <si>
    <t>4214.2.Р.04.Шг.4.000.ЭМ4</t>
  </si>
  <si>
    <t>4214.2.Р.04.Шг.4.000.ЭМ5</t>
  </si>
  <si>
    <t>4214.2.Р.04.Шг.4.000.ЭМ6</t>
  </si>
  <si>
    <t>4214.2.Р.04.Шг.4.000.ЭМ7</t>
  </si>
  <si>
    <t>4214.2.Р.04.Шг.4.000.ЭМ8</t>
  </si>
  <si>
    <t>4214.2.Р.04.Шг.4.000.ЭМ9</t>
  </si>
  <si>
    <t>4214К.00.Р.04.Шг.2.000.Л1</t>
  </si>
  <si>
    <t>Подъем и укладка демонтируемого нефтепровода на бровку траншеи без снятия изоляции, наружный диаметр трубопровода: 159 мм</t>
  </si>
  <si>
    <t>Резка на бровке траншеи демонтируемых труб условным диаметром:350мм (прим.д.159)</t>
  </si>
  <si>
    <t>Автомобильные перевозки бортовым автомобилем, г/п до 10 т, коэффициент загрузки - 1 (класс груза - 1), расстояние перевозки - 025 км</t>
  </si>
  <si>
    <t>Планировка площадей бульдозерами мощностью 130л.с.(прим.)</t>
  </si>
  <si>
    <t>Засыпка траншей и котлованов с перемещением грунта до 5 м бульдозерами мощностью 96 кВт (130 л.с.), группа грунтов 3</t>
  </si>
  <si>
    <t>Подъем и укладка демонтируемого нефтепровода на бровку траншеи без снятия изоляции, наружный диаметр трубопровода: 350мм (д.325 прим.)</t>
  </si>
  <si>
    <t>Резка на бровке траншеи демонтируемых труб условным диаметром:350мм (д.325 прим.)</t>
  </si>
  <si>
    <t>Планировка площадей бульдозерами мощностью 130л.с.</t>
  </si>
  <si>
    <t>Разработка грунта в отвал экскаваторами "драглайн" или "обратная лопата" с ковшом вместимостью: 0,65 (0,5-1) м3, группа грунтов 4</t>
  </si>
  <si>
    <t>Подъем и укладка демонтируемого нефтепровода на бровку траншеи без снятия изоляции, наружный диаметр трубопровода: 57 мм (прим.)</t>
  </si>
  <si>
    <t>Резка на бровке траншеи демонтируемых труб условным диаметром:57 мм (прим.)</t>
  </si>
  <si>
    <t>Подъем и укладка демонтируемого нефтепровода на бровку траншеи без снятия изоляции, наружный диаметр трубопровода: 168 мм (прим.)</t>
  </si>
  <si>
    <t>Подъем и укладка демонтируемого нефтепровода на бровку траншеи без снятия изоляции, наружный диаметр трубопровода: 325 мм (прим.)</t>
  </si>
  <si>
    <t>Резка на бровке траншеи демонтируемых труб условным диаметром:325 мм (прим.)</t>
  </si>
  <si>
    <t>Ключ работ</t>
  </si>
  <si>
    <t>Демонтажные работы.  демонтаж внутриплощадочных  сетей в2.</t>
  </si>
  <si>
    <t>Демонтаж оборудования, арматуры и трубопроводов внутриплощадочных технологических сетей.</t>
  </si>
  <si>
    <t>Демонтаж блок-бокса распределения ингибитора коррозии. поз.3</t>
  </si>
  <si>
    <t>Демонтаж фундамента. демонтаж блок-бокса  распределения ингибитора коррозии. поз.3</t>
  </si>
  <si>
    <t>Земляные работы. разработка грунта. общестроительные работы. поз.4</t>
  </si>
  <si>
    <t>Земляные работы. засыпка грунта. общестроительные работы. поз.4</t>
  </si>
  <si>
    <t>Вывоз грунта. общестроительные работы. поз.4</t>
  </si>
  <si>
    <t>Земляные работы. разработка грунта. демонтаж основания и фундаментов. поз.4</t>
  </si>
  <si>
    <t>Демонтажные работы. демонтаж основания и фундаментов. поз.4</t>
  </si>
  <si>
    <t>Очистка территории. демонтаж основания и фундаментов. поз.4</t>
  </si>
  <si>
    <t>Погрузочные работы. демонтаж основания и фундаментов. поз.4</t>
  </si>
  <si>
    <t>Вывоз мусора. демонтаж основания и фундаментов. поз.4</t>
  </si>
  <si>
    <t>Демонтаж технологического оборудования, арматуры и трубопроводов, демонтаж дренажной емкости v=25м3. поз.гп.4.</t>
  </si>
  <si>
    <t>Погрузочные работы. демонтаж дренажной емкости v=25м3. поз.гп.4.</t>
  </si>
  <si>
    <t>Вывоз металлолома. демонтаж дренажной емкости v=25м3. поз.гп.4.</t>
  </si>
  <si>
    <t>Демонтаж технологических трубопроводов,  поз.гп. 8,9</t>
  </si>
  <si>
    <t>Погрузочные работы. демонтаж технологических трубопроводов,  поз.гп. 8,9</t>
  </si>
  <si>
    <t>Вывоз металлолома. демонтаж технологических трубопроводов,  поз.гп. 8,9</t>
  </si>
  <si>
    <t>Земляные работы. разработка грунта.  демонтажные общестроительные работы.  поз.гп. 8,9</t>
  </si>
  <si>
    <t>Земляные работы. засыпка грунта.  демонтажные общестроительные работы.  поз.гп. 8,9</t>
  </si>
  <si>
    <t>Демонтаж жб конструкций.  демонтажные общестроительные работы.  поз.гп. 8,9</t>
  </si>
  <si>
    <t>Демонтаж металлоконструкций.  демонтажные общестроительные работы.  поз.гп. 8,9</t>
  </si>
  <si>
    <t>Погрузочные работы.  демонтажные общестроительные работы.  поз.гп. 8,9</t>
  </si>
  <si>
    <t>Вывоз грунта и строительного мусора.  демонтажные общестроительные работы.  поз.гп. 8,9</t>
  </si>
  <si>
    <t>демонтажные работы. демонтаж блок-контейнера. поз. 14</t>
  </si>
  <si>
    <t>Погрузочные работы. демонтаж блок-контейнера. поз. 14</t>
  </si>
  <si>
    <t>Вывоз металлолома. демонтаж блок-контейнера. поз. 14фс</t>
  </si>
  <si>
    <t>Земляные работы. разработка грунта. демонтаж фундаметов. поз. 14</t>
  </si>
  <si>
    <t>Земляные работы. засыпка грунта. демонтаж фундаметов. поз. 14</t>
  </si>
  <si>
    <t>Демонтажные работы. демонтаж фундаметов. поз. 14</t>
  </si>
  <si>
    <t>Погрузочные работы. демонтажные работы. демонтаж фундаметов. поз. 14</t>
  </si>
  <si>
    <t>Вывоз грунта и мусора. демонтаж фундаметов. поз. 14</t>
  </si>
  <si>
    <t>Демонтаж трубопроводов. демонтаж отопления. поз. 14</t>
  </si>
  <si>
    <t>Погрузочные работы.  демонтаж отопления. поз. 14</t>
  </si>
  <si>
    <t>Вывоз металлолома.  демонтаж отопления. поз. 14</t>
  </si>
  <si>
    <t>Демонтаж вентиляции. поз.14</t>
  </si>
  <si>
    <t>Погрузочные работы. демонтаж вентиляции. поз.14</t>
  </si>
  <si>
    <t>Вывоз металлолома. демонтаж вентиляции. поз.14</t>
  </si>
  <si>
    <t>Демонтаж технологического трубопровода. поз. 14</t>
  </si>
  <si>
    <t>Погрузочные работы. демонтаж технологического трубопровода. поз. 14</t>
  </si>
  <si>
    <t>Вывоз металлолома.  демонтаж технологического трубопровода. поз. 14</t>
  </si>
  <si>
    <t>Вывоз мусора. общестроительные работы, демонтаж технологического оборудования, арматуры и трубопроводов. поз.14</t>
  </si>
  <si>
    <t>Погрузочные работы. общестроительные работы, демонтаж технологического оборудования, арматуры и трубопроводов. поз.14</t>
  </si>
  <si>
    <t>Земляные работы. разработка грунта. демонтаж резервуара. поз.21</t>
  </si>
  <si>
    <t>Демонтаж жб конструкций. демонтаж резервуара. поз.21</t>
  </si>
  <si>
    <t>Демонтаж металлоконструкций. демонтаж резервуара. поз.21</t>
  </si>
  <si>
    <t>Погрузочные работы. демонтаж резервуара. поз.21</t>
  </si>
  <si>
    <t>Земляные работы. засыпка грунта грунта. демонтаж резервуара. поз.21</t>
  </si>
  <si>
    <t>Вывоз грунта и мусора строительного. демонтаж резервуара. поз.21</t>
  </si>
  <si>
    <t>Демонтаж жб конструкций. демонтажные общестроительные работы. поз. гп. 22.</t>
  </si>
  <si>
    <t>Очистка территории. демонтажные общестроительные работы. поз. гп. 22.</t>
  </si>
  <si>
    <t>Погрузочные работы. демонтажные общестроительные работы. поз. гп. 22.</t>
  </si>
  <si>
    <t>Вывоз мусора. демонтажные общестроительные работы. поз. гп. 22.</t>
  </si>
  <si>
    <t>Земляные работы. разработка грунта. демонтажные общестроительные работы. поз. гп. 22.</t>
  </si>
  <si>
    <t>Земляные работы. засыпка грунта. демонтажные общестроительные работы. поз. гп. 22.</t>
  </si>
  <si>
    <t>Демонтаж технологического оборудования, арматуры и трубопроводов. поз. гп. 22.</t>
  </si>
  <si>
    <t>Погрузочные работы. демонтаж технологического оборудования, арматуры и трубопроводов. поз. гп. 22.</t>
  </si>
  <si>
    <t>Вывоз металлолома. демонтаж технологического оборудования, арматуры и трубопроводов. поз. гп. 22.</t>
  </si>
  <si>
    <t>Демонтаж жб конструкций. демонтажные общестроительные работы. поз.гп.25.</t>
  </si>
  <si>
    <t>Очистка территории. демонтажные общестроительные работы. поз.гп.25.</t>
  </si>
  <si>
    <t>Погрузочные работы. демонтажные общестроительные работы. поз.гп.25.</t>
  </si>
  <si>
    <t>Вывоз мусора. демонтажные общестроительные работы. поз.гп.25.</t>
  </si>
  <si>
    <t>Земляные работы. разработка грунта. демонтажные общестроительные работы. поз.гп.25.</t>
  </si>
  <si>
    <t>Земляные работы. засыпка грунта. демонтажные общестроительные работы. поз.гп.25.</t>
  </si>
  <si>
    <t>Земляные работы. разработка грунта. демонтаж разводки импульсного газа,  поз.гп.25.</t>
  </si>
  <si>
    <t>Земляные работы. засыпка грунта. демонтаж разводки импульсного газа,  поз.гп.25.</t>
  </si>
  <si>
    <t>Демонтаж оборудования, арматуры и трубопроводов. демонтаж разводки импульсного газа,  поз.гп.25.</t>
  </si>
  <si>
    <t>Погрузочные работы. демонтаж разводки импульсного газа,  поз.гп.25.</t>
  </si>
  <si>
    <t>Вывоз металлолома. демонтаж разводки импульсного газа,  поз.гп.25.</t>
  </si>
  <si>
    <t>Демонтаж технологического оборудования, арматуры и трубопроводов, поз.гп.25.</t>
  </si>
  <si>
    <t>Погрузочные работы. демонтаж технологического оборудования, арматуры и трубопроводов, поз.гп.25.</t>
  </si>
  <si>
    <t>Вывоз металлолома. демонтаж технологического оборудования, арматуры и трубопроводов, поз.гп.25.</t>
  </si>
  <si>
    <t>Демонтаж опор. общестроительные работы опор, демонтаж существующих вл10кв к существующему грп-4</t>
  </si>
  <si>
    <t>Погрузочные работы. общестроительные работы опор, демонтаж существующих вл10кв к существующему грп-4</t>
  </si>
  <si>
    <t>Вывоз мусора. общестроительные работы опор, демонтаж существующих вл10кв к существующему грп-4</t>
  </si>
  <si>
    <t>Земляные работы. разработка грунта. демонтаж существующих вл 10кв, грп-4.</t>
  </si>
  <si>
    <t>Cтроительные работы. демонтаж существующих вл 10кв, грп-4.</t>
  </si>
  <si>
    <t>Погрузочные работы. демонтаж существующих вл 10кв, грп-4.</t>
  </si>
  <si>
    <t>Вывоз мусора. демонтаж существующих вл 10кв, грп-4.</t>
  </si>
  <si>
    <t>Земляные работы. засыпка грунта. демонтаж существующих вл 10кв, грп-4.</t>
  </si>
  <si>
    <t>Демонтаж опор.  демонтаж существующих вл10кв в целях доведения до норм пуэ</t>
  </si>
  <si>
    <t>Погрузочные аботы. демонтаж существующих вл10кв в целях доведения до норм пуэ</t>
  </si>
  <si>
    <t>Вывоз мусора. демонтаж существующих вл10кв в целях доведения до норм пуэ</t>
  </si>
  <si>
    <t>Земляные работы. разработка грунта. демонтаж влз 10кв "фидер-2" на участке от пс110/35/10кв "песчаный умет-1" до ответвления к грп-4</t>
  </si>
  <si>
    <t>Строительные работы. демонтаж влз 10кв "фидер-2" на участке от пс110/35/10кв "песчаный умет-1" до ответвления к грп-4</t>
  </si>
  <si>
    <t>Земляные работы. засыпка грунта. демонтаж влз 10кв "фидер-2" на участке от пс110/35/10кв "песчаный умет-1" до ответвления к грп-4</t>
  </si>
  <si>
    <t>Погрузочные работы. демонтаж влз 10кв "фидер-2" на участке от пс110/35/10кв "песчаный умет-1" до ответвления к грп-4</t>
  </si>
  <si>
    <t>Вывоз мусора.  демонтаж влз 10кв "фидер-2" на участке от пс110/35/10кв "песчаный умет-1" до ответвления к грп-4</t>
  </si>
  <si>
    <t>Демонтажные работы. строительные работы. эхз</t>
  </si>
  <si>
    <t>Земляные работы. разработка грунта. демонтажные работы. строительные работы эхз</t>
  </si>
  <si>
    <t>Земляные работы. засыпка грунта. демонтажные работы. строительные работы. эхз</t>
  </si>
  <si>
    <t>Погрузочные работы. демонтажные работы. строительные работы. эхз</t>
  </si>
  <si>
    <t>Вывоз мусора. демонтажные работы. строительные работы. эхз</t>
  </si>
  <si>
    <t>Демонтажные работы. монтажные работы. эхз</t>
  </si>
  <si>
    <t>Погрузочные работы. демонтажные работы. монтажные работы. эхз</t>
  </si>
  <si>
    <t>Вывоз мусора. демонтажные работы. монтажные работы. эхз</t>
  </si>
  <si>
    <t>Линия 1</t>
  </si>
  <si>
    <t>Линия 2</t>
  </si>
  <si>
    <t>Монтаж молниеотвода.  основание под блок-бокс.  ас10. бкэс№4,3</t>
  </si>
  <si>
    <t>Монтаж молниеотвода. земляные работы. засыпка грунта. ас10. бкэс№4,3</t>
  </si>
  <si>
    <t>Монтаж молниеотвода. земляные работы. разработка грунта. ас10. бкэс№4,3</t>
  </si>
  <si>
    <t>Монтаж молниеотвода. земляные работы. засыпка грунта. ас11. бкэс№4,4</t>
  </si>
  <si>
    <t>Монтаж молниеотвода. земляные работы. разработка грунта. ас11. бкэс№4,4</t>
  </si>
  <si>
    <t>Монтаж молниеотвода. основание под блок-бокс.  ас11. бкэс№4,4</t>
  </si>
  <si>
    <t>Монтаж молниеотвода.  земляные работы. засыпка грунта. ас20. бкэс№4,13</t>
  </si>
  <si>
    <t>Монтаж молниеотвода.  земляные работы. разработка грунта. ас18. бкэс№4,11</t>
  </si>
  <si>
    <t>Монтаж молниеотвода.  земляные работы. разработка грунта. ас19. бкэс№4,12</t>
  </si>
  <si>
    <t>Монтаж молниеотвода.  земляные работы. разработка грунта. ас25. бкэс№4,18</t>
  </si>
  <si>
    <t>Монтаж молниеотвода.  основание под блок-бокс.  ас16. бкэс№4,9</t>
  </si>
  <si>
    <t>Монтаж молниеотвода.  основание под блок-бокс.  ас21. бкэс№4,14</t>
  </si>
  <si>
    <t>Монтаж молниеотвода. земляные работы. засыпка грунта. ас13. бкэс№4,6</t>
  </si>
  <si>
    <t>Монтаж молниеотвода. земляные работы. засыпка грунта. ас14. бкэс№4,7</t>
  </si>
  <si>
    <t>Монтаж молниеотвода. земляные работы. засыпка грунта. ас15. бкэс№4,8</t>
  </si>
  <si>
    <t>Монтаж молниеотвода. земляные работы. засыпка грунта. ас16. бкэс№4,9</t>
  </si>
  <si>
    <t>Монтаж молниеотвода. земляные работы. засыпка грунта. ас17. бкэс№4,10</t>
  </si>
  <si>
    <t>Монтаж молниеотвода. земляные работы. засыпка грунта. ас18. бкэс№4,11</t>
  </si>
  <si>
    <t>Монтаж молниеотвода. земляные работы. засыпка грунта. ас19. бкэс№4,12</t>
  </si>
  <si>
    <t>Монтаж молниеотвода. земляные работы. засыпка грунта. ас21. бкэс№4,14</t>
  </si>
  <si>
    <t>Монтаж молниеотвода. земляные работы. засыпка грунта. ас22. бкэс№4,15</t>
  </si>
  <si>
    <t>Монтаж молниеотвода. земляные работы. засыпка грунта. ас23. бкэс№4,16</t>
  </si>
  <si>
    <t>Монтаж молниеотвода. земляные работы. засыпка грунта. ас24. бкэс№4,17</t>
  </si>
  <si>
    <t>Монтаж молниеотвода. земляные работы. засыпка грунта. ас25. бкэс№4,18</t>
  </si>
  <si>
    <t>Монтаж молниеотвода. земляные работы. засыпка грунта. ас8. бкэс№4,1</t>
  </si>
  <si>
    <t>Монтаж молниеотвода. земляные работы. засыпка грунта. ас9. бкэс№4,2</t>
  </si>
  <si>
    <t>Монтаж молниеотвода. земляные работы. разработка грунта. ас13. бкэс№4,6</t>
  </si>
  <si>
    <t>Монтаж молниеотвода. земляные работы. разработка грунта. ас14. бкэс№4,7</t>
  </si>
  <si>
    <t>Монтаж молниеотвода. земляные работы. разработка грунта. ас15. бкэс№4,8</t>
  </si>
  <si>
    <t>Монтаж молниеотвода. земляные работы. разработка грунта. ас16. бкэс№4,9</t>
  </si>
  <si>
    <t>Монтаж молниеотвода. земляные работы. разработка грунта. ас17. бкэс№4,10</t>
  </si>
  <si>
    <t>Монтаж молниеотвода. земляные работы. разработка грунта. ас20. бкэс№4,13</t>
  </si>
  <si>
    <t>Монтаж молниеотвода. земляные работы. разработка грунта. ас21. бкэс№4,14</t>
  </si>
  <si>
    <t>Монтаж молниеотвода. земляные работы. разработка грунта. ас22. бкэс№4,15</t>
  </si>
  <si>
    <t>Монтаж молниеотвода. земляные работы. разработка грунта. ас23. бкэс№4,16</t>
  </si>
  <si>
    <t>Монтаж молниеотвода. земляные работы. разработка грунта. ас24. бкэс№4,17</t>
  </si>
  <si>
    <t>Монтаж молниеотвода. земляные работы. разработка грунта. ас8. бкэс№4,1</t>
  </si>
  <si>
    <t>Монтаж молниеотвода. земляные работы. разработка грунта. ас9. бкэс№4,2</t>
  </si>
  <si>
    <t>Монтаж молниеотвода. основание под блок-бокс.  ас12. бкэс№4,5</t>
  </si>
  <si>
    <t>Монтаж молниеотвода. основание под блок-бокс.  ас13. бкэс№4,6</t>
  </si>
  <si>
    <t>Монтаж молниеотвода. основание под блок-бокс.  ас14. бкэс№4,7</t>
  </si>
  <si>
    <t>Монтаж молниеотвода. основание под блок-бокс.  ас15. бкэс№4,8</t>
  </si>
  <si>
    <t>Монтаж молниеотвода. основание под блок-бокс.  ас17. бкэс№4,10</t>
  </si>
  <si>
    <t>Монтаж молниеотвода. основание под блок-бокс.  ас18. бкэс№4,11</t>
  </si>
  <si>
    <t>Монтаж молниеотвода. основание под блок-бокс.  ас19. бкэс№4,12</t>
  </si>
  <si>
    <t>Монтаж молниеотвода. основание под блок-бокс.  ас20. бкэс№4,13</t>
  </si>
  <si>
    <t>Монтаж молниеотвода. основание под блок-бокс.  ас22. бкэс№4,15</t>
  </si>
  <si>
    <t>Монтаж молниеотвода. основание под блок-бокс.  ас23. бкэс№4,16</t>
  </si>
  <si>
    <t>Монтаж молниеотвода. основание под блок-бокс.  ас24. бкэс№4,17</t>
  </si>
  <si>
    <t>Монтаж молниеотвода. основание под блок-бокс.  ас25. бкэс№4,18</t>
  </si>
  <si>
    <t>Монтаж молниеотвода. основание под блок-бокс.  ас8. бкэс№4,1</t>
  </si>
  <si>
    <t>Устройство заземления.  земляные работы. засыпка грунта. скз№4.18</t>
  </si>
  <si>
    <t>Устройство заземления.  земляные работы. разработка грунта. скз№4.17</t>
  </si>
  <si>
    <t>Устройство заземления. земляные работы. засыпка грунта. скз№4.1</t>
  </si>
  <si>
    <t>Устройство заземления. земляные работы. засыпка грунта. скз№4.10</t>
  </si>
  <si>
    <t>Устройство заземления. земляные работы. засыпка грунта. скз№4.11</t>
  </si>
  <si>
    <t>Устройство заземления. земляные работы. засыпка грунта. скз№4.12</t>
  </si>
  <si>
    <t>Устройство заземления. земляные работы. засыпка грунта. скз№4.13</t>
  </si>
  <si>
    <t>Устройство заземления. земляные работы. засыпка грунта. скз№4.14</t>
  </si>
  <si>
    <t>Устройство заземления. земляные работы. засыпка грунта. скз№4.15</t>
  </si>
  <si>
    <t>Устройство заземления. земляные работы. засыпка грунта. скз№4.16</t>
  </si>
  <si>
    <t>Устройство заземления. земляные работы. засыпка грунта. скз№4.17</t>
  </si>
  <si>
    <t>Устройство заземления. земляные работы. засыпка грунта. скз№4.2</t>
  </si>
  <si>
    <t>Устройство заземления. земляные работы. засыпка грунта. скз№4.3</t>
  </si>
  <si>
    <t>Устройство заземления. земляные работы. засыпка грунта. скз№4.4</t>
  </si>
  <si>
    <t>Устройство заземления. земляные работы. засыпка грунта. скз№4.5</t>
  </si>
  <si>
    <t>Устройство заземления. земляные работы. засыпка грунта. скз№4.6</t>
  </si>
  <si>
    <t>Вертикальная планировка. устройство насыпи. гп10. бкэс №4.10</t>
  </si>
  <si>
    <t>Инженерная защита.  инженерная защита. гп15. бкэс №4.15</t>
  </si>
  <si>
    <t>Инженерная защита. водоотводной валик. гп16. бкэс №4.16</t>
  </si>
  <si>
    <t>Инженерная защита. инженерная защита. гп16. бкэс №4.16</t>
  </si>
  <si>
    <t>Вертикальная планировка.  земляные работы. срезка грунта. гп16. бкэс №4.16</t>
  </si>
  <si>
    <t>Вертикальная планировка. устройство насыпи. гп16. бкэс №4.16</t>
  </si>
  <si>
    <t>Инженерная защита. водоотводной валик. гп17. бкэс №4.17</t>
  </si>
  <si>
    <t>Инженерная защита. инженерная защита. гп17. бкэс №4.17</t>
  </si>
  <si>
    <t>Вертикальная планировка. устройство насыпи. гп17. бкэс №4.17</t>
  </si>
  <si>
    <t>Инженерная защита. инженерная защита. гп18. бкэс №4.18</t>
  </si>
  <si>
    <t>Вертикальная планировка.  устройство насыпи. гп18. бкэс №4.18</t>
  </si>
  <si>
    <t>Вертикальная планировка. земляные работы. срезка грунта. гп18. бкэс №4.18</t>
  </si>
  <si>
    <t>Инженерная защита. инженерная защита. гп19. бкэс №4.19</t>
  </si>
  <si>
    <t>Вертикальная планировка.  устройство насыпи. гп19. бкэс №4.19</t>
  </si>
  <si>
    <t>Вертикальная планировка. земляные работы. срезка грунта. гп19. бкэс №4.19</t>
  </si>
  <si>
    <t>Инженерная защита. водоотводной валик. гп2. бкэс №4.2</t>
  </si>
  <si>
    <t>Инженерная защита. инженерная защита. гп2. бкэс №4.2</t>
  </si>
  <si>
    <t>Вертикальная планировка.  устройство насыпи. гп2. бкэс №4.2</t>
  </si>
  <si>
    <t>Вертикальная планировка. земляные работы. срезка грунта. гп2. бкэс №4.2</t>
  </si>
  <si>
    <t>Инженерная защита.инженерная защита. гп3. бкэс №4.3</t>
  </si>
  <si>
    <t>Вертикальная планировка. устройство насыпи. гп3. бкэс №4.3</t>
  </si>
  <si>
    <t>Инженерная защита.  инженерная защита. гп4. бкэс №4.4</t>
  </si>
  <si>
    <t>Инженерная защита. водоотводной валик. гп4. бкэс №4.4</t>
  </si>
  <si>
    <t>Вертикальная планировка. земляные работы. срезка грунта. гп4. бкэс №4.4</t>
  </si>
  <si>
    <t>Вертикальная планировка. устройство насыпи. гп4. бкэс №4.</t>
  </si>
  <si>
    <t>Инженерная защита.  гп8. бкэс №4.8</t>
  </si>
  <si>
    <t>Инженерная защита.  инженерная защита. гп9. бкэс №4.9</t>
  </si>
  <si>
    <t>Земляные работы. разработка грунта. демонтаж газопроводов-шлейфов. грп4</t>
  </si>
  <si>
    <t>Демонтажные работы. демонтаж газопроводов-шлейфов. грп4</t>
  </si>
  <si>
    <t>Земляные работы. обратная засыпка грунта. демонтаж газопроводов-шлейфов. грп4</t>
  </si>
  <si>
    <t>Погрузо-разгрузочные и транспортные работы. демонтаж газопроводов-шлейфов. грп4</t>
  </si>
  <si>
    <t>Монтаж бкэс. установка блок-контейнера. скз№4.1</t>
  </si>
  <si>
    <t>Монтаж бкэс. монтажные работы. приборы и оборудование. скз№4.2</t>
  </si>
  <si>
    <t>Монтаж бкэс. установка блок-контейнера. скз№4.2</t>
  </si>
  <si>
    <t>Монтаж бкэс.  установка блок-контейнера. скз№4.10</t>
  </si>
  <si>
    <t>Монтаж бкэс. монтажные работы. приборы и оборудование. скз№4.10</t>
  </si>
  <si>
    <t>Монтаж бкэс. монтажные работы. приборы и оборудование. скз№4.11</t>
  </si>
  <si>
    <t>Монтаж бкэс. установка блок-контейнера. скз№4.11</t>
  </si>
  <si>
    <t>Монтаж бкэс. монтажные работы. приборы и оборудование. скз№4.12</t>
  </si>
  <si>
    <t>Монтаж бкэс. установка блок-контейнера. скз№4.12</t>
  </si>
  <si>
    <t>Монтаж бкэс. монтажные работы. приборы и оборудование. скз№4.13</t>
  </si>
  <si>
    <t>Монтаж бкэс. установка блок-контейнера. скз№4.13</t>
  </si>
  <si>
    <t>Монтаж бкэс. монтажные работы. приборы и оборудование. скз№4.14</t>
  </si>
  <si>
    <t>Монтаж бкэс. установка блок-контейнера. скз№4.14</t>
  </si>
  <si>
    <t>Монтаж бкэс.  установка блок-контейнера. скз№4.15</t>
  </si>
  <si>
    <t>Монтаж бкэс. монтажные работы. приборы и оборудование. скз№4.15</t>
  </si>
  <si>
    <t xml:space="preserve">Монтаж бкэс. монтажные работы.приборы и оборудование. скз№4.16  </t>
  </si>
  <si>
    <t>Монтаж бкэс. установка блок-контейнера. скз№4.16</t>
  </si>
  <si>
    <t>Монтаж бкэс. монтажные работы.  приборы и оборудование. скз№4.17</t>
  </si>
  <si>
    <t>Монтаж бкэс. установка блок-контейнера. скз№4.17</t>
  </si>
  <si>
    <t>Монтаж бкэс. монтажные работы. приборы и оборудование. скз№4.18</t>
  </si>
  <si>
    <t>Монтаж бкэс. установка блок-контейнера. скз№4.18</t>
  </si>
  <si>
    <t>Монтаж бкэс. монтажные работы. приборы и оборудование. скз№4.19</t>
  </si>
  <si>
    <t>Монтаж бкэс. установка блок-контейнера. скз№4.19</t>
  </si>
  <si>
    <t>Монтаж бкэс. монтажные работы.  приборы и оборудование. скз№4.3</t>
  </si>
  <si>
    <t>Монтаж бкэс. установка блок-контейнера. скз№4.3</t>
  </si>
  <si>
    <t>Монтаж бкэс. монтажные работы.  приборы и оборудование. скз№4.4</t>
  </si>
  <si>
    <t>Монтаж бкэс. установка блок-контейнера. скз№4.4</t>
  </si>
  <si>
    <t>Демонтаж газопроводов от скважин до грп-2 ду159мм, сеть газосборная грп-2</t>
  </si>
  <si>
    <t>Погрузо-разгрузочные работы. демонтаж газопроводов от скважин до грп-2 ду159мм, сеть газосборная грп-2</t>
  </si>
  <si>
    <t>Транспортировка. демонтаж газопроводов от скважин до грп-2 ду159мм, сеть газосборная грп-2</t>
  </si>
  <si>
    <t>Земляные работы, разработка грунта.  сеть газосборная грп-2. демонтаж газопроводов от скважин до грп-2 ду159мм</t>
  </si>
  <si>
    <t>Земляные работы, обратная засыпка. сеть газосборная грп-2. демонтаж газопроводов от скважин до грп-2 ду159мм</t>
  </si>
  <si>
    <t>Демонтаж газосборных коллекторов ду325 от грп-2 до кс (2,491км), сеть газосборная грп-2</t>
  </si>
  <si>
    <t>Погрузо-разгрузочные работы. демонтаж газосборных коллекторов ду325 от грп-2 до кс (2,491км), сеть газосборная грп-2</t>
  </si>
  <si>
    <t>Транспортировка. демонтаж газосборных коллекторов ду325 от грп-2 до кс (2,491км), сеть газосборная грп-2</t>
  </si>
  <si>
    <t>Земляные работы, разработка грунта. сеть газосборная грп-2. демонтаж газосборных коллекторов ду325 от грп-2 до кс (2,491км)</t>
  </si>
  <si>
    <t>Земляные работы. обратная засыпка. сеть газосборная грп-2. демонтаж газосборных коллекторов ду325 от грп-2 до кс (2,491км)</t>
  </si>
  <si>
    <t>Демонтаж метанолопровода ду57 от грп-2 до кс (1,05км), сеть газосборная грп-2</t>
  </si>
  <si>
    <t>Погрузо-разгрузочные работы. демонтаж метанолопровода ду57 от грп-2 до кс (1,05км), сеть газосборная грп-2</t>
  </si>
  <si>
    <t>Транспортировка. демонтаж метанолопровода ду57 от грп-2 до кс (1,05км), сеть газосборная грп-2</t>
  </si>
  <si>
    <t>Земляные работы, разработка грунта.  сеть газосборная грп-2. демонтаж метанолопровода ду57 от грп-2 до кс (1,05км)</t>
  </si>
  <si>
    <t>Земляные работы, обратная засыпка.  сеть газосборная грп-2. демонтаж метанолопровода ду57 от грп-2 до кс (1,05км)</t>
  </si>
  <si>
    <t>Демонтаж не действующих газопроводов ду159,168, 325мм (1,19км), сеть газосборная грп-2</t>
  </si>
  <si>
    <t>Погрузо-разгрузочные работы.  демонтаж не действующих газопроводов ду159,168, 325мм (1,19км), сеть газосборная грп-2</t>
  </si>
  <si>
    <t>Транспортировка.  демонтаж не действующих газопроводов ду159,168, 325мм (1,19км), сеть газосборная грп-2</t>
  </si>
  <si>
    <t>Земляные работы, разработка грунта.  сеть газосборная грп-2. демонтаж не действующих газопроводов ду159,168, 325мм (1,19км)</t>
  </si>
  <si>
    <t>Земляные работы, обратная засыпка. сеть газосборная грп-2. демонтаж не действующих газопроводов ду159,168, 325мм (1,19км)</t>
  </si>
  <si>
    <t>Инженерная защита. водоотводной валик. гп5. бкэс №4.5</t>
  </si>
  <si>
    <t>Инженерная защита. инженерная защита. гп5. бкэс №4.5</t>
  </si>
  <si>
    <t>Инженерная защита. водоотводной валик. гп6. бкэс №4.6</t>
  </si>
  <si>
    <t>Инженерная защита. инженерная защита. гп6. бкэс №4.6</t>
  </si>
  <si>
    <t>Вертикальная планировка. земляные работы. срезка грунта. гп6. бкэс №4.6</t>
  </si>
  <si>
    <t>Вертикальная планировка. устройство насыпи. гп6. бкэс №4.6</t>
  </si>
  <si>
    <t>Инженерная защита. инженерная защита. гп7. бкэс №4.7</t>
  </si>
  <si>
    <t>Вертикальная планировка. земляные работы. срезка грунта. гп7. бкэс №4.7</t>
  </si>
  <si>
    <t>Вертикальная планировка. устройство насыпи. гп7. бкэс №4.7</t>
  </si>
  <si>
    <t>Инженерная защита. водоотводной валик. гп8. бкэс №4.8</t>
  </si>
  <si>
    <t>Вертикальная планировка.  гп8. бкэс №4.8</t>
  </si>
  <si>
    <t>Вертикальная планировка. устройство насыпи. гп8. бкэс №4.8</t>
  </si>
  <si>
    <t>Инженерная защита. водоотводной валик. гп9. бкэс №4.9</t>
  </si>
  <si>
    <t>Вертикальная планировка. земляные работы. срезка грунта. гп9. бкэс №4.9</t>
  </si>
  <si>
    <t>Вертикальная планировка. устройство насыпи. гп9. бкэс №4.9</t>
  </si>
  <si>
    <t>Устройство заземления. земляные работы. засыпка грунта. скз№4.7</t>
  </si>
  <si>
    <t>Устройство заземления. земляные работы. засыпка грунта. скз№4.8</t>
  </si>
  <si>
    <t>Устройство заземления. земляные работы. разработка грунта. скз№4.14</t>
  </si>
  <si>
    <t>Устройство заземления. монтажные работы. заземление. скз№4.14</t>
  </si>
  <si>
    <t>Устройство заземления. земляные работы. разработка грунта. скз№4.15</t>
  </si>
  <si>
    <t>Устройство заземления. монтажные работы. заземление. скз№4.15</t>
  </si>
  <si>
    <t>Устройство заземления. монтажные работы. заземление. скз№4.16</t>
  </si>
  <si>
    <t>Устройство заземления. земляные работы. разработка грунта. скз№4.16</t>
  </si>
  <si>
    <t>Устройство заземления. монтажные работы. заземление. скз№4.17</t>
  </si>
  <si>
    <t>Устройство заземления. монтажные работы. заземление. скз№4.18</t>
  </si>
  <si>
    <t>Устройство заземления. земляные работы. разработка грунта. скз№4.18</t>
  </si>
  <si>
    <t>Устройство заземления. монтажные работы. заземление. скз№4.1</t>
  </si>
  <si>
    <t>Устройство заземления. земляные работы. разработка грунта. скз№4.1</t>
  </si>
  <si>
    <t>Устройство заземления. монтажные работы. заземление. скз№4.2</t>
  </si>
  <si>
    <t>Устройство заземления. земляные работы. разработка грунта. скз№4.2</t>
  </si>
  <si>
    <t>Устройство заземления. монтажные работы. заземление. скз№4.3</t>
  </si>
  <si>
    <t>Устройство заземления. земляные работы. разработка грунта. скз№4.3</t>
  </si>
  <si>
    <t>Монтаж бкэс. монтажные работы. приборы и оборудование. скз№4.1</t>
  </si>
  <si>
    <t>Монтаж бкэс. установка блок-контейнера. скз№4.6</t>
  </si>
  <si>
    <t>Монтаж бкэс. монтажные работы. приборы и оборудование. скз№4.6</t>
  </si>
  <si>
    <t>Монтаж бкэс. установка блок-контейнера. скз№4.7</t>
  </si>
  <si>
    <t>Монтаж бкэс. монтажные работы.приборы и оборудование. скз№4.7</t>
  </si>
  <si>
    <t>Монтаж бкэс. монтажные работы. приборы и оборудование. скз№4.8</t>
  </si>
  <si>
    <t>Монтаж бкэс.  установка блок-контейнера. скз№4.8</t>
  </si>
  <si>
    <t>Монтаж бкэс. установка блок-контейнера. скз№4.9</t>
  </si>
  <si>
    <t>Монтаж бкэс. монтажные работы. приборы и оборудование. скз№4.9</t>
  </si>
  <si>
    <t>Вертикальная планировка. земляные работы. срезка грунта. гп15. бкэс №4.15</t>
  </si>
  <si>
    <t>Вертикальная планировка. устройство насыпи. гп15. бкэс №4.15</t>
  </si>
  <si>
    <t>Инженерная защита. водоотводной валик. гп10. бкэс №4.10</t>
  </si>
  <si>
    <t>Инженерная защита. инженерная защита. гп10. бкэс №4.10</t>
  </si>
  <si>
    <t>Устройство заземления. монтажные работы. заземление. скз№4.5</t>
  </si>
  <si>
    <t>Устройство заземления. земляные работы. разработка грунта. скз№4.5</t>
  </si>
  <si>
    <t>Вертикальная планировка. земляные работы. срезка грунта. гп1. бкэс №4.1</t>
  </si>
  <si>
    <t>Вертикальная планировка. устройство насыпи. гп1. бкэс №4.1</t>
  </si>
  <si>
    <t>Устройство заземления. монтажные работы. заземление. скз№4.4</t>
  </si>
  <si>
    <t>Устройство заземления. земляные работы. разработка грунта. скз№4.4</t>
  </si>
  <si>
    <t>Устройство заземления. монтажные работы. заземление. скз№4.13</t>
  </si>
  <si>
    <t>Устройство заземления. земляные работы. разработка грунта. скз№4.13</t>
  </si>
  <si>
    <t>Устройство заземления. монтажные работы. заземление. скз№4.12</t>
  </si>
  <si>
    <t>Устройство заземления. земляные работы. разработка грунта. скз№4.12</t>
  </si>
  <si>
    <t>Устройство заземления. монтажные работы. заземление. скз№4.11</t>
  </si>
  <si>
    <t>Устройство заземления. земляные работы. разработка грунта. скз№4.11</t>
  </si>
  <si>
    <t>Устройство заземления. монтажные работы. заземление. скз№4.10</t>
  </si>
  <si>
    <t>Устройство заземления. земляные работы. разработка грунта. скз№4.10</t>
  </si>
  <si>
    <t>Устройство заземления. монтажные работы. заземление. скз№4.9</t>
  </si>
  <si>
    <t>Устройство заземления. земляные работы. разработка грунта. скз№4.9</t>
  </si>
  <si>
    <t>Устройство заземления. земляные работы. засыпка грунта. скз№4.9</t>
  </si>
  <si>
    <t>Устройство заземления. монтажные работы. заземление. скз№4.8</t>
  </si>
  <si>
    <t>Устройство заземления. земляные работы. разработка грунта. скз№4.8</t>
  </si>
  <si>
    <t>Устройство заземления. монтажные работы. заземление. скз№4.7</t>
  </si>
  <si>
    <t>Устройство заземления. земляные работы. разработка грунта. скз№4.7</t>
  </si>
  <si>
    <t>Устройство заземления. монтажные работы. заземление. скз№4.6</t>
  </si>
  <si>
    <t>Устройство заземления. земляные работы. разработка грунта. скз№4.6</t>
  </si>
  <si>
    <t>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</si>
</sst>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4" fontId="2" fillId="0" borderId="1" xfId="0" applyNumberFormat="1" applyFont="1" applyBorder="1" applyAlignment="1">
      <alignment horizontal="center" vertical="center" wrapText="1"/>
    </xf>
    <xf numFmtId="4" fontId="2" fillId="0" borderId="1" xfId="1" applyNumberFormat="1" applyFont="1" applyFill="1" applyBorder="1" applyAlignment="1">
      <alignment horizontal="center" vertical="center" wrapText="1"/>
    </xf>
    <xf numFmtId="4" fontId="0" fillId="0" borderId="0" xfId="0" applyNumberFormat="1"/>
    <xf numFmtId="4" fontId="2" fillId="0" borderId="1" xfId="0" applyNumberFormat="1" applyFont="1" applyBorder="1" applyAlignment="1">
      <alignment horizontal="left" vertical="top"/>
    </xf>
    <xf numFmtId="4" fontId="2" fillId="0" borderId="1" xfId="1" applyNumberFormat="1" applyFont="1" applyFill="1" applyBorder="1" applyAlignment="1">
      <alignment horizontal="left" vertical="top"/>
    </xf>
    <xf numFmtId="4" fontId="2" fillId="0" borderId="1" xfId="1" applyNumberFormat="1" applyFont="1" applyFill="1" applyBorder="1" applyAlignment="1">
      <alignment horizontal="right" vertical="top"/>
    </xf>
    <xf numFmtId="4" fontId="0" fillId="0" borderId="0" xfId="0" applyNumberFormat="1" applyAlignment="1">
      <alignment horizontal="center" vertical="center" wrapText="1"/>
    </xf>
  </cellXfs>
  <cellStyles count="2">
    <cellStyle name="Обычный" xfId="0" builtinId="0"/>
    <cellStyle name="Финансовый" xfId="1" builtinId="3"/>
  </cellStyles>
  <dxfs count="93"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  <dxf>
      <fill>
        <patternFill>
          <bgColor theme="2" tint="-9.9948118533890809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theme" Target="theme/theme1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2"/>
  <dimension ref="A1:H5"/>
  <sheetViews>
    <sheetView topLeftCell="A19" workbookViewId="0">
      <selection activeCell="D36" sqref="D36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A1" s="5" t="s">
        <v>441</v>
      </c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41.4" x14ac:dyDescent="0.3">
      <c r="A2">
        <v>1</v>
      </c>
      <c r="B2" s="4" t="s">
        <v>0</v>
      </c>
      <c r="C2" s="4" t="s">
        <v>442</v>
      </c>
      <c r="D2" s="4" t="s">
        <v>1</v>
      </c>
      <c r="E2" s="4" t="s">
        <v>2</v>
      </c>
      <c r="F2" s="9">
        <v>0.22559999999999999</v>
      </c>
      <c r="G2" s="10"/>
      <c r="H2" s="11"/>
    </row>
    <row r="3" spans="1:8" ht="41.4" x14ac:dyDescent="0.3">
      <c r="A3">
        <v>1</v>
      </c>
      <c r="B3" s="4" t="s">
        <v>0</v>
      </c>
      <c r="C3" s="4" t="s">
        <v>442</v>
      </c>
      <c r="D3" s="4" t="s">
        <v>3</v>
      </c>
      <c r="E3" s="4" t="s">
        <v>2</v>
      </c>
      <c r="F3" s="9">
        <v>3.7199999999999997E-2</v>
      </c>
      <c r="G3" s="10"/>
      <c r="H3" s="11"/>
    </row>
    <row r="4" spans="1:8" ht="41.4" x14ac:dyDescent="0.3">
      <c r="A4">
        <v>1</v>
      </c>
      <c r="B4" s="4" t="s">
        <v>0</v>
      </c>
      <c r="C4" s="4" t="s">
        <v>442</v>
      </c>
      <c r="D4" s="4" t="s">
        <v>4</v>
      </c>
      <c r="E4" s="4" t="s">
        <v>2</v>
      </c>
      <c r="F4" s="9">
        <v>3.7199999999999997E-2</v>
      </c>
      <c r="G4" s="10"/>
      <c r="H4" s="11"/>
    </row>
    <row r="5" spans="1:8" ht="41.4" x14ac:dyDescent="0.3">
      <c r="A5">
        <v>1</v>
      </c>
      <c r="B5" s="4" t="s">
        <v>0</v>
      </c>
      <c r="C5" s="4" t="s">
        <v>442</v>
      </c>
      <c r="D5" s="4" t="s">
        <v>5</v>
      </c>
      <c r="E5" s="4" t="s">
        <v>2</v>
      </c>
      <c r="F5" s="9">
        <v>0.22559999999999999</v>
      </c>
      <c r="G5" s="10">
        <v>90</v>
      </c>
      <c r="H5" s="11">
        <f>F5*G5</f>
        <v>20.303999999999998</v>
      </c>
    </row>
  </sheetData>
  <autoFilter ref="B1:G1" xr:uid="{00000000-0001-0000-0000-000000000000}">
    <sortState xmlns:xlrd2="http://schemas.microsoft.com/office/spreadsheetml/2017/richdata2" ref="B2:G30">
      <sortCondition ref="E1"/>
    </sortState>
  </autoFilter>
  <conditionalFormatting sqref="B2:G5">
    <cfRule type="expression" dxfId="92" priority="1">
      <formula>$I2&gt;0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D6E43-CC04-4ED4-BCC4-D1A751086B9E}">
  <sheetPr codeName="Лист3"/>
  <dimension ref="A1:H7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55.2" x14ac:dyDescent="0.3">
      <c r="A2">
        <v>1</v>
      </c>
      <c r="B2" s="1" t="s">
        <v>12</v>
      </c>
      <c r="C2" s="1" t="s">
        <v>443</v>
      </c>
      <c r="D2" s="2" t="s">
        <v>13</v>
      </c>
      <c r="E2" s="1" t="s">
        <v>44</v>
      </c>
      <c r="F2" s="12">
        <v>1</v>
      </c>
      <c r="G2" s="13">
        <v>94.5</v>
      </c>
      <c r="H2" s="11">
        <f>F2*G2</f>
        <v>94.5</v>
      </c>
    </row>
    <row r="3" spans="1:8" ht="55.2" x14ac:dyDescent="0.3">
      <c r="A3">
        <v>1</v>
      </c>
      <c r="B3" s="1" t="s">
        <v>12</v>
      </c>
      <c r="C3" s="1" t="s">
        <v>443</v>
      </c>
      <c r="D3" s="2" t="s">
        <v>14</v>
      </c>
      <c r="E3" s="1" t="s">
        <v>44</v>
      </c>
      <c r="F3" s="12">
        <v>1</v>
      </c>
      <c r="G3" s="13">
        <v>94.5</v>
      </c>
      <c r="H3" s="11">
        <f>F3*G3</f>
        <v>94.5</v>
      </c>
    </row>
    <row r="4" spans="1:8" ht="55.2" x14ac:dyDescent="0.3">
      <c r="A4">
        <v>1</v>
      </c>
      <c r="B4" s="1" t="s">
        <v>12</v>
      </c>
      <c r="C4" s="1" t="s">
        <v>443</v>
      </c>
      <c r="D4" s="2" t="s">
        <v>15</v>
      </c>
      <c r="E4" s="1" t="s">
        <v>753</v>
      </c>
      <c r="F4" s="12">
        <v>61.199999999999996</v>
      </c>
      <c r="G4" s="13">
        <v>20.94</v>
      </c>
      <c r="H4" s="11">
        <f>F4*G4</f>
        <v>1281.528</v>
      </c>
    </row>
    <row r="5" spans="1:8" ht="55.2" x14ac:dyDescent="0.3">
      <c r="A5">
        <v>1</v>
      </c>
      <c r="B5" s="1" t="s">
        <v>12</v>
      </c>
      <c r="C5" s="1" t="s">
        <v>443</v>
      </c>
      <c r="D5" s="2" t="s">
        <v>15</v>
      </c>
      <c r="E5" s="1" t="s">
        <v>753</v>
      </c>
      <c r="F5" s="12">
        <v>1</v>
      </c>
      <c r="G5" s="13">
        <v>24.3</v>
      </c>
      <c r="H5" s="11">
        <f>F5*G5</f>
        <v>24.3</v>
      </c>
    </row>
    <row r="6" spans="1:8" ht="55.2" x14ac:dyDescent="0.3">
      <c r="A6">
        <v>1</v>
      </c>
      <c r="B6" s="1" t="s">
        <v>12</v>
      </c>
      <c r="C6" s="1" t="s">
        <v>443</v>
      </c>
      <c r="D6" s="2" t="s">
        <v>15</v>
      </c>
      <c r="E6" s="1" t="s">
        <v>753</v>
      </c>
      <c r="F6" s="12">
        <v>41.3</v>
      </c>
      <c r="G6" s="13">
        <v>26.61</v>
      </c>
      <c r="H6" s="11">
        <f>F6*G6</f>
        <v>1098.9929999999999</v>
      </c>
    </row>
    <row r="7" spans="1:8" ht="41.4" x14ac:dyDescent="0.3">
      <c r="A7">
        <v>1</v>
      </c>
      <c r="B7" s="1" t="s">
        <v>12</v>
      </c>
      <c r="C7" s="1" t="s">
        <v>443</v>
      </c>
      <c r="D7" s="2" t="s">
        <v>16</v>
      </c>
      <c r="E7" s="1" t="s">
        <v>753</v>
      </c>
      <c r="F7" s="12">
        <v>50</v>
      </c>
      <c r="G7" s="13">
        <v>1.599</v>
      </c>
      <c r="H7" s="11">
        <f>F7*G7</f>
        <v>79.95</v>
      </c>
    </row>
  </sheetData>
  <autoFilter ref="B1:G1" xr:uid="{04AD6E43-CC04-4ED4-BCC4-D1A751086B9E}"/>
  <conditionalFormatting sqref="B2:G7">
    <cfRule type="expression" dxfId="91" priority="1">
      <formula>$I2&gt;0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891D2-8501-4A0E-AA9E-BE3EE12241E1}">
  <sheetPr codeName="Лист4">
    <tabColor rgb="FF00B050"/>
  </sheetPr>
  <dimension ref="A1:H3"/>
  <sheetViews>
    <sheetView topLeftCell="A7" workbookViewId="0">
      <selection activeCell="D24" sqref="D24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x14ac:dyDescent="0.3">
      <c r="A2">
        <v>1</v>
      </c>
      <c r="B2" s="1" t="s">
        <v>17</v>
      </c>
      <c r="C2" s="1" t="s">
        <v>444</v>
      </c>
      <c r="D2" s="2" t="s">
        <v>18</v>
      </c>
      <c r="E2" s="1" t="s">
        <v>19</v>
      </c>
      <c r="F2" s="12">
        <v>16</v>
      </c>
      <c r="G2" s="13">
        <v>4</v>
      </c>
      <c r="H2" s="14">
        <f>F2*G2</f>
        <v>64</v>
      </c>
    </row>
    <row r="3" spans="1:8" x14ac:dyDescent="0.3">
      <c r="A3">
        <v>2</v>
      </c>
      <c r="B3" s="1" t="s">
        <v>17</v>
      </c>
      <c r="C3" s="1" t="s">
        <v>445</v>
      </c>
      <c r="D3" s="2" t="s">
        <v>20</v>
      </c>
      <c r="E3" s="1" t="s">
        <v>21</v>
      </c>
      <c r="F3" s="12">
        <v>5.8</v>
      </c>
      <c r="G3" s="13">
        <v>49.59</v>
      </c>
      <c r="H3" s="14">
        <f>F3*G3</f>
        <v>287.62200000000001</v>
      </c>
    </row>
  </sheetData>
  <autoFilter ref="B1:H3" xr:uid="{A17891D2-8501-4A0E-AA9E-BE3EE12241E1}"/>
  <conditionalFormatting sqref="B2:H3">
    <cfRule type="expression" dxfId="90" priority="2">
      <formula>$I2&gt;0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FB63B-F59E-4291-9348-643220019024}">
  <sheetPr codeName="Лист5">
    <tabColor rgb="FF00B050"/>
  </sheetPr>
  <dimension ref="A1:H18"/>
  <sheetViews>
    <sheetView topLeftCell="A19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1</v>
      </c>
      <c r="B2" s="1" t="s">
        <v>29</v>
      </c>
      <c r="C2" s="1" t="s">
        <v>446</v>
      </c>
      <c r="D2" s="2" t="s">
        <v>30</v>
      </c>
      <c r="E2" s="1" t="s">
        <v>21</v>
      </c>
      <c r="F2" s="12">
        <v>27</v>
      </c>
      <c r="G2" s="13"/>
      <c r="H2" s="11"/>
    </row>
    <row r="3" spans="1:8" ht="27.6" x14ac:dyDescent="0.3">
      <c r="A3">
        <v>1</v>
      </c>
      <c r="B3" s="1" t="s">
        <v>29</v>
      </c>
      <c r="C3" s="1" t="s">
        <v>446</v>
      </c>
      <c r="D3" s="2" t="s">
        <v>31</v>
      </c>
      <c r="E3" s="1" t="s">
        <v>21</v>
      </c>
      <c r="F3" s="12">
        <v>1</v>
      </c>
      <c r="G3" s="13">
        <v>615</v>
      </c>
      <c r="H3" s="11">
        <f>F3*G3</f>
        <v>615</v>
      </c>
    </row>
    <row r="4" spans="1:8" ht="41.4" x14ac:dyDescent="0.3">
      <c r="A4">
        <v>1</v>
      </c>
      <c r="B4" s="1" t="s">
        <v>29</v>
      </c>
      <c r="C4" s="1" t="s">
        <v>446</v>
      </c>
      <c r="D4" s="2" t="s">
        <v>32</v>
      </c>
      <c r="E4" s="1" t="s">
        <v>21</v>
      </c>
      <c r="F4" s="12">
        <v>25</v>
      </c>
      <c r="G4" s="13"/>
      <c r="H4" s="11"/>
    </row>
    <row r="5" spans="1:8" ht="27.6" x14ac:dyDescent="0.3">
      <c r="A5">
        <v>2</v>
      </c>
      <c r="B5" s="1" t="s">
        <v>29</v>
      </c>
      <c r="C5" s="1" t="s">
        <v>447</v>
      </c>
      <c r="D5" s="2" t="s">
        <v>33</v>
      </c>
      <c r="E5" s="1" t="s">
        <v>21</v>
      </c>
      <c r="F5" s="12">
        <v>28</v>
      </c>
      <c r="G5" s="13"/>
      <c r="H5" s="11"/>
    </row>
    <row r="6" spans="1:8" x14ac:dyDescent="0.3">
      <c r="A6">
        <v>3</v>
      </c>
      <c r="B6" s="1" t="s">
        <v>29</v>
      </c>
      <c r="C6" s="1" t="s">
        <v>448</v>
      </c>
      <c r="D6" s="2" t="s">
        <v>34</v>
      </c>
      <c r="E6" s="1" t="s">
        <v>19</v>
      </c>
      <c r="F6" s="12">
        <v>40</v>
      </c>
      <c r="G6" s="13"/>
      <c r="H6" s="11"/>
    </row>
    <row r="7" spans="1:8" ht="27.6" x14ac:dyDescent="0.3">
      <c r="A7">
        <v>4</v>
      </c>
      <c r="B7" s="1" t="s">
        <v>29</v>
      </c>
      <c r="C7" s="1" t="s">
        <v>449</v>
      </c>
      <c r="D7" s="2" t="s">
        <v>30</v>
      </c>
      <c r="E7" s="1" t="s">
        <v>21</v>
      </c>
      <c r="F7" s="12">
        <v>26</v>
      </c>
      <c r="G7" s="13"/>
      <c r="H7" s="11"/>
    </row>
    <row r="8" spans="1:8" x14ac:dyDescent="0.3">
      <c r="A8">
        <v>5</v>
      </c>
      <c r="B8" s="1" t="s">
        <v>29</v>
      </c>
      <c r="C8" s="1" t="s">
        <v>450</v>
      </c>
      <c r="D8" s="2" t="s">
        <v>35</v>
      </c>
      <c r="E8" s="1" t="s">
        <v>19</v>
      </c>
      <c r="F8" s="12">
        <v>0.39</v>
      </c>
      <c r="G8" s="13">
        <v>16.001999999999999</v>
      </c>
      <c r="H8" s="11">
        <f>F8*G8</f>
        <v>6.24078</v>
      </c>
    </row>
    <row r="9" spans="1:8" x14ac:dyDescent="0.3">
      <c r="A9">
        <v>5</v>
      </c>
      <c r="B9" s="1" t="s">
        <v>29</v>
      </c>
      <c r="C9" s="1" t="s">
        <v>450</v>
      </c>
      <c r="D9" s="2" t="s">
        <v>36</v>
      </c>
      <c r="E9" s="1" t="s">
        <v>21</v>
      </c>
      <c r="F9" s="12">
        <v>1.74</v>
      </c>
      <c r="G9" s="13">
        <v>9.59</v>
      </c>
      <c r="H9" s="11">
        <f>F9*G9</f>
        <v>16.686599999999999</v>
      </c>
    </row>
    <row r="10" spans="1:8" x14ac:dyDescent="0.3">
      <c r="A10">
        <v>5</v>
      </c>
      <c r="B10" s="1" t="s">
        <v>29</v>
      </c>
      <c r="C10" s="1" t="s">
        <v>450</v>
      </c>
      <c r="D10" s="2" t="s">
        <v>37</v>
      </c>
      <c r="E10" s="1" t="s">
        <v>21</v>
      </c>
      <c r="F10" s="12">
        <v>5.6000000000000001E-2</v>
      </c>
      <c r="G10" s="13">
        <v>9.59</v>
      </c>
      <c r="H10" s="11">
        <f>F10*G10</f>
        <v>0.53703999999999996</v>
      </c>
    </row>
    <row r="11" spans="1:8" ht="27.6" x14ac:dyDescent="0.3">
      <c r="A11">
        <v>5</v>
      </c>
      <c r="B11" s="1" t="s">
        <v>29</v>
      </c>
      <c r="C11" s="1" t="s">
        <v>451</v>
      </c>
      <c r="D11" s="2" t="s">
        <v>24</v>
      </c>
      <c r="E11" s="1" t="s">
        <v>21</v>
      </c>
      <c r="F11" s="12">
        <v>4</v>
      </c>
      <c r="G11" s="13"/>
      <c r="H11" s="11"/>
    </row>
    <row r="12" spans="1:8" x14ac:dyDescent="0.3">
      <c r="A12">
        <v>5</v>
      </c>
      <c r="B12" s="1" t="s">
        <v>29</v>
      </c>
      <c r="C12" s="1" t="s">
        <v>451</v>
      </c>
      <c r="D12" s="2" t="s">
        <v>25</v>
      </c>
      <c r="E12" s="1" t="s">
        <v>21</v>
      </c>
      <c r="F12" s="12">
        <v>4</v>
      </c>
      <c r="G12" s="13"/>
      <c r="H12" s="11"/>
    </row>
    <row r="13" spans="1:8" ht="27.6" x14ac:dyDescent="0.3">
      <c r="A13">
        <v>6</v>
      </c>
      <c r="B13" s="1" t="s">
        <v>29</v>
      </c>
      <c r="C13" s="1" t="s">
        <v>449</v>
      </c>
      <c r="D13" s="2" t="s">
        <v>38</v>
      </c>
      <c r="E13" s="1" t="s">
        <v>21</v>
      </c>
      <c r="F13" s="12">
        <v>26</v>
      </c>
      <c r="G13" s="13"/>
      <c r="H13" s="11"/>
    </row>
    <row r="14" spans="1:8" ht="27.6" x14ac:dyDescent="0.3">
      <c r="A14">
        <v>6</v>
      </c>
      <c r="B14" s="1" t="s">
        <v>29</v>
      </c>
      <c r="C14" s="1" t="s">
        <v>449</v>
      </c>
      <c r="D14" s="2" t="s">
        <v>39</v>
      </c>
      <c r="E14" s="1" t="s">
        <v>21</v>
      </c>
      <c r="F14" s="12">
        <v>26</v>
      </c>
      <c r="G14" s="13"/>
      <c r="H14" s="11"/>
    </row>
    <row r="15" spans="1:8" x14ac:dyDescent="0.3">
      <c r="A15">
        <v>7</v>
      </c>
      <c r="B15" s="1" t="s">
        <v>29</v>
      </c>
      <c r="C15" s="1" t="s">
        <v>452</v>
      </c>
      <c r="D15" s="2" t="s">
        <v>40</v>
      </c>
      <c r="E15" s="1" t="s">
        <v>26</v>
      </c>
      <c r="F15" s="12">
        <v>0.39</v>
      </c>
      <c r="G15" s="13">
        <v>0.74</v>
      </c>
      <c r="H15" s="11">
        <f>F15*G15</f>
        <v>0.28860000000000002</v>
      </c>
    </row>
    <row r="16" spans="1:8" x14ac:dyDescent="0.3">
      <c r="A16">
        <v>7</v>
      </c>
      <c r="B16" s="1" t="s">
        <v>29</v>
      </c>
      <c r="C16" s="1" t="s">
        <v>452</v>
      </c>
      <c r="D16" s="2" t="s">
        <v>27</v>
      </c>
      <c r="E16" s="1" t="s">
        <v>26</v>
      </c>
      <c r="F16" s="12">
        <v>5.8</v>
      </c>
      <c r="G16" s="13">
        <v>3.81</v>
      </c>
      <c r="H16" s="11">
        <f>F16*G16</f>
        <v>22.097999999999999</v>
      </c>
    </row>
    <row r="17" spans="1:8" ht="27.6" x14ac:dyDescent="0.3">
      <c r="A17">
        <v>8</v>
      </c>
      <c r="B17" s="1" t="s">
        <v>29</v>
      </c>
      <c r="C17" s="1" t="s">
        <v>453</v>
      </c>
      <c r="D17" s="2" t="s">
        <v>41</v>
      </c>
      <c r="E17" s="1" t="s">
        <v>19</v>
      </c>
      <c r="F17" s="12">
        <v>0.39</v>
      </c>
      <c r="G17" s="13"/>
      <c r="H17" s="11"/>
    </row>
    <row r="18" spans="1:8" x14ac:dyDescent="0.3">
      <c r="A18">
        <v>8</v>
      </c>
      <c r="B18" s="1" t="s">
        <v>29</v>
      </c>
      <c r="C18" s="1" t="s">
        <v>453</v>
      </c>
      <c r="D18" s="2" t="s">
        <v>28</v>
      </c>
      <c r="E18" s="1" t="s">
        <v>19</v>
      </c>
      <c r="F18" s="12">
        <v>5.8</v>
      </c>
      <c r="G18" s="13"/>
      <c r="H18" s="11"/>
    </row>
  </sheetData>
  <autoFilter ref="B1:G18" xr:uid="{CC6FB63B-F59E-4291-9348-643220019024}"/>
  <conditionalFormatting sqref="B2:G18">
    <cfRule type="expression" dxfId="89" priority="1">
      <formula>$I2&gt;0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B3C07-2F50-4A08-B9AE-AB5B2927EE03}">
  <sheetPr codeName="Лист6"/>
  <dimension ref="A1:H17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x14ac:dyDescent="0.3">
      <c r="A2">
        <v>1</v>
      </c>
      <c r="B2" s="1" t="s">
        <v>42</v>
      </c>
      <c r="C2" s="1" t="s">
        <v>454</v>
      </c>
      <c r="D2" s="2" t="s">
        <v>43</v>
      </c>
      <c r="E2" s="1" t="s">
        <v>44</v>
      </c>
      <c r="F2" s="12">
        <v>1</v>
      </c>
      <c r="G2" s="13">
        <v>36.6</v>
      </c>
      <c r="H2" s="11">
        <f>F2*G2</f>
        <v>36.6</v>
      </c>
    </row>
    <row r="3" spans="1:8" ht="27.6" x14ac:dyDescent="0.3">
      <c r="A3">
        <v>1</v>
      </c>
      <c r="B3" s="1" t="s">
        <v>42</v>
      </c>
      <c r="C3" s="1" t="s">
        <v>454</v>
      </c>
      <c r="D3" s="2" t="s">
        <v>45</v>
      </c>
      <c r="E3" s="1" t="s">
        <v>44</v>
      </c>
      <c r="F3" s="12">
        <v>2</v>
      </c>
      <c r="G3" s="13">
        <v>1.107</v>
      </c>
      <c r="H3" s="11">
        <f>F3*G3</f>
        <v>2.214</v>
      </c>
    </row>
    <row r="4" spans="1:8" ht="27.6" x14ac:dyDescent="0.3">
      <c r="A4">
        <v>1</v>
      </c>
      <c r="B4" s="1" t="s">
        <v>42</v>
      </c>
      <c r="C4" s="1" t="s">
        <v>454</v>
      </c>
      <c r="D4" s="2" t="s">
        <v>46</v>
      </c>
      <c r="E4" s="1" t="s">
        <v>44</v>
      </c>
      <c r="F4" s="12">
        <v>4</v>
      </c>
      <c r="G4" s="13">
        <v>0.54</v>
      </c>
      <c r="H4" s="11">
        <f>F4*G4</f>
        <v>2.16</v>
      </c>
    </row>
    <row r="5" spans="1:8" ht="55.2" x14ac:dyDescent="0.3">
      <c r="A5">
        <v>1</v>
      </c>
      <c r="B5" s="1" t="s">
        <v>42</v>
      </c>
      <c r="C5" s="1" t="s">
        <v>454</v>
      </c>
      <c r="D5" s="2" t="s">
        <v>47</v>
      </c>
      <c r="E5" s="1" t="s">
        <v>753</v>
      </c>
      <c r="F5" s="12">
        <v>6.5</v>
      </c>
      <c r="G5" s="13">
        <v>54.599999999999994</v>
      </c>
      <c r="H5" s="11">
        <f>F5*G5</f>
        <v>354.9</v>
      </c>
    </row>
    <row r="6" spans="1:8" ht="55.2" x14ac:dyDescent="0.3">
      <c r="A6">
        <v>1</v>
      </c>
      <c r="B6" s="1" t="s">
        <v>42</v>
      </c>
      <c r="C6" s="1" t="s">
        <v>454</v>
      </c>
      <c r="D6" s="2" t="s">
        <v>48</v>
      </c>
      <c r="E6" s="1" t="s">
        <v>753</v>
      </c>
      <c r="F6" s="12">
        <v>6.9</v>
      </c>
      <c r="G6" s="13">
        <v>44.4</v>
      </c>
      <c r="H6" s="11">
        <f>F6*G6</f>
        <v>306.36</v>
      </c>
    </row>
    <row r="7" spans="1:8" ht="55.2" x14ac:dyDescent="0.3">
      <c r="A7">
        <v>1</v>
      </c>
      <c r="B7" s="1" t="s">
        <v>42</v>
      </c>
      <c r="C7" s="1" t="s">
        <v>454</v>
      </c>
      <c r="D7" s="2" t="s">
        <v>49</v>
      </c>
      <c r="E7" s="1" t="s">
        <v>753</v>
      </c>
      <c r="F7" s="12">
        <v>1.6</v>
      </c>
      <c r="G7" s="13">
        <v>69.3</v>
      </c>
      <c r="H7" s="11">
        <f>F7*G7</f>
        <v>110.88</v>
      </c>
    </row>
    <row r="8" spans="1:8" ht="55.2" x14ac:dyDescent="0.3">
      <c r="A8">
        <v>1</v>
      </c>
      <c r="B8" s="1" t="s">
        <v>42</v>
      </c>
      <c r="C8" s="1" t="s">
        <v>454</v>
      </c>
      <c r="D8" s="2" t="s">
        <v>50</v>
      </c>
      <c r="E8" s="1" t="s">
        <v>753</v>
      </c>
      <c r="F8" s="12">
        <v>1.7000000000000002</v>
      </c>
      <c r="G8" s="13">
        <v>54.6</v>
      </c>
      <c r="H8" s="11">
        <f>F8*G8</f>
        <v>92.820000000000007</v>
      </c>
    </row>
    <row r="9" spans="1:8" ht="55.2" x14ac:dyDescent="0.3">
      <c r="A9">
        <v>1</v>
      </c>
      <c r="B9" s="1" t="s">
        <v>42</v>
      </c>
      <c r="C9" s="1" t="s">
        <v>454</v>
      </c>
      <c r="D9" s="2" t="s">
        <v>51</v>
      </c>
      <c r="E9" s="1" t="s">
        <v>753</v>
      </c>
      <c r="F9" s="12">
        <v>4.1000000000000005</v>
      </c>
      <c r="G9" s="13">
        <v>44.399999999999991</v>
      </c>
      <c r="H9" s="11">
        <f>F9*G9</f>
        <v>182.04</v>
      </c>
    </row>
    <row r="10" spans="1:8" ht="27.6" x14ac:dyDescent="0.3">
      <c r="A10">
        <v>2</v>
      </c>
      <c r="B10" s="1" t="s">
        <v>42</v>
      </c>
      <c r="C10" s="1" t="s">
        <v>455</v>
      </c>
      <c r="D10" s="2" t="s">
        <v>52</v>
      </c>
      <c r="E10" s="1" t="s">
        <v>26</v>
      </c>
      <c r="F10" s="12">
        <v>6.1</v>
      </c>
      <c r="G10" s="13">
        <v>0.7400000000000001</v>
      </c>
      <c r="H10" s="11">
        <f>F10*G10</f>
        <v>4.5140000000000002</v>
      </c>
    </row>
    <row r="11" spans="1:8" ht="27.6" x14ac:dyDescent="0.3">
      <c r="A11">
        <v>2</v>
      </c>
      <c r="B11" s="1" t="s">
        <v>42</v>
      </c>
      <c r="C11" s="1" t="s">
        <v>455</v>
      </c>
      <c r="D11" s="2" t="s">
        <v>53</v>
      </c>
      <c r="E11" s="1" t="s">
        <v>26</v>
      </c>
      <c r="F11" s="12">
        <v>8.2000000000000003E-2</v>
      </c>
      <c r="G11" s="13">
        <v>0.74</v>
      </c>
      <c r="H11" s="11">
        <f>F11*G11</f>
        <v>6.0680000000000005E-2</v>
      </c>
    </row>
    <row r="12" spans="1:8" ht="27.6" x14ac:dyDescent="0.3">
      <c r="A12">
        <v>2</v>
      </c>
      <c r="B12" s="1" t="s">
        <v>42</v>
      </c>
      <c r="C12" s="1" t="s">
        <v>455</v>
      </c>
      <c r="D12" s="2" t="s">
        <v>54</v>
      </c>
      <c r="E12" s="1" t="s">
        <v>26</v>
      </c>
      <c r="F12" s="12">
        <v>8.2402000000000003E-2</v>
      </c>
      <c r="G12" s="13">
        <v>0.73999417489866748</v>
      </c>
      <c r="H12" s="11">
        <f>F12*G12</f>
        <v>6.0976999999999996E-2</v>
      </c>
    </row>
    <row r="13" spans="1:8" ht="27.6" x14ac:dyDescent="0.3">
      <c r="A13">
        <v>2</v>
      </c>
      <c r="B13" s="1" t="s">
        <v>42</v>
      </c>
      <c r="C13" s="1" t="s">
        <v>455</v>
      </c>
      <c r="D13" s="2" t="s">
        <v>55</v>
      </c>
      <c r="E13" s="1" t="s">
        <v>26</v>
      </c>
      <c r="F13" s="12">
        <v>4.3796000000000002E-2</v>
      </c>
      <c r="G13" s="13">
        <v>0.73999908667458214</v>
      </c>
      <c r="H13" s="11">
        <f>F13*G13</f>
        <v>3.2409E-2</v>
      </c>
    </row>
    <row r="14" spans="1:8" ht="27.6" x14ac:dyDescent="0.3">
      <c r="A14">
        <v>3</v>
      </c>
      <c r="B14" s="1" t="s">
        <v>42</v>
      </c>
      <c r="C14" s="1" t="s">
        <v>456</v>
      </c>
      <c r="D14" s="2" t="s">
        <v>56</v>
      </c>
      <c r="E14" s="1" t="s">
        <v>19</v>
      </c>
      <c r="F14" s="12">
        <v>6.1</v>
      </c>
      <c r="G14" s="13"/>
      <c r="H14" s="11"/>
    </row>
    <row r="15" spans="1:8" ht="27.6" x14ac:dyDescent="0.3">
      <c r="A15">
        <v>3</v>
      </c>
      <c r="B15" s="1" t="s">
        <v>42</v>
      </c>
      <c r="C15" s="1" t="s">
        <v>456</v>
      </c>
      <c r="D15" s="2" t="s">
        <v>57</v>
      </c>
      <c r="E15" s="1" t="s">
        <v>19</v>
      </c>
      <c r="F15" s="12">
        <v>8.2000000000000003E-2</v>
      </c>
      <c r="G15" s="13"/>
      <c r="H15" s="11"/>
    </row>
    <row r="16" spans="1:8" ht="27.6" x14ac:dyDescent="0.3">
      <c r="A16">
        <v>3</v>
      </c>
      <c r="B16" s="1" t="s">
        <v>42</v>
      </c>
      <c r="C16" s="1" t="s">
        <v>456</v>
      </c>
      <c r="D16" s="2" t="s">
        <v>58</v>
      </c>
      <c r="E16" s="1" t="s">
        <v>19</v>
      </c>
      <c r="F16" s="12">
        <v>8.2402000000000003E-2</v>
      </c>
      <c r="G16" s="13"/>
      <c r="H16" s="11"/>
    </row>
    <row r="17" spans="1:8" ht="27.6" x14ac:dyDescent="0.3">
      <c r="A17">
        <v>3</v>
      </c>
      <c r="B17" s="1" t="s">
        <v>42</v>
      </c>
      <c r="C17" s="1" t="s">
        <v>456</v>
      </c>
      <c r="D17" s="2" t="s">
        <v>59</v>
      </c>
      <c r="E17" s="1" t="s">
        <v>19</v>
      </c>
      <c r="F17" s="12">
        <v>4.3796000000000002E-2</v>
      </c>
      <c r="G17" s="13"/>
      <c r="H17" s="11"/>
    </row>
  </sheetData>
  <autoFilter ref="A1:G17" xr:uid="{A9CB3C07-2F50-4A08-B9AE-AB5B2927EE03}"/>
  <conditionalFormatting sqref="B2:G17">
    <cfRule type="expression" dxfId="88" priority="1">
      <formula>$I2&gt;0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454D-6EB7-4F60-8BB2-5A4F7CE1473B}">
  <sheetPr codeName="Лист7">
    <tabColor rgb="FF00B050"/>
  </sheetPr>
  <dimension ref="A1:H23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55.2" x14ac:dyDescent="0.3">
      <c r="A2">
        <v>1</v>
      </c>
      <c r="B2" s="1" t="s">
        <v>60</v>
      </c>
      <c r="C2" s="1" t="s">
        <v>457</v>
      </c>
      <c r="D2" s="2" t="s">
        <v>61</v>
      </c>
      <c r="E2" s="1" t="s">
        <v>753</v>
      </c>
      <c r="F2" s="12">
        <v>16</v>
      </c>
      <c r="G2" s="13">
        <v>54.6</v>
      </c>
      <c r="H2" s="11">
        <f>F2*G2</f>
        <v>873.6</v>
      </c>
    </row>
    <row r="3" spans="1:8" ht="55.2" x14ac:dyDescent="0.3">
      <c r="A3">
        <v>1</v>
      </c>
      <c r="B3" s="1" t="s">
        <v>60</v>
      </c>
      <c r="C3" s="1" t="s">
        <v>457</v>
      </c>
      <c r="D3" s="2" t="s">
        <v>62</v>
      </c>
      <c r="E3" s="1" t="s">
        <v>753</v>
      </c>
      <c r="F3" s="12">
        <v>1</v>
      </c>
      <c r="G3" s="13">
        <v>99.9</v>
      </c>
      <c r="H3" s="11">
        <f>F3*G3</f>
        <v>99.9</v>
      </c>
    </row>
    <row r="4" spans="1:8" x14ac:dyDescent="0.3">
      <c r="A4">
        <v>2</v>
      </c>
      <c r="B4" s="1" t="s">
        <v>60</v>
      </c>
      <c r="C4" s="1" t="s">
        <v>458</v>
      </c>
      <c r="D4" s="2" t="s">
        <v>40</v>
      </c>
      <c r="E4" s="1" t="s">
        <v>26</v>
      </c>
      <c r="F4" s="12">
        <v>0.1062</v>
      </c>
      <c r="G4" s="13">
        <v>0.74</v>
      </c>
      <c r="H4" s="11">
        <f>F4*G4</f>
        <v>7.8588000000000005E-2</v>
      </c>
    </row>
    <row r="5" spans="1:8" ht="27.6" x14ac:dyDescent="0.3">
      <c r="A5">
        <v>3</v>
      </c>
      <c r="B5" s="1" t="s">
        <v>60</v>
      </c>
      <c r="C5" s="1" t="s">
        <v>459</v>
      </c>
      <c r="D5" s="2" t="s">
        <v>41</v>
      </c>
      <c r="E5" s="1" t="s">
        <v>19</v>
      </c>
      <c r="F5" s="12">
        <v>0.1062</v>
      </c>
      <c r="G5" s="13"/>
      <c r="H5" s="11"/>
    </row>
    <row r="6" spans="1:8" ht="27.6" x14ac:dyDescent="0.3">
      <c r="A6">
        <v>4</v>
      </c>
      <c r="B6" s="1" t="s">
        <v>60</v>
      </c>
      <c r="C6" s="1" t="s">
        <v>460</v>
      </c>
      <c r="D6" s="2" t="s">
        <v>63</v>
      </c>
      <c r="E6" s="1" t="s">
        <v>21</v>
      </c>
      <c r="F6" s="12">
        <v>449</v>
      </c>
      <c r="G6" s="13"/>
      <c r="H6" s="11"/>
    </row>
    <row r="7" spans="1:8" ht="41.4" x14ac:dyDescent="0.3">
      <c r="A7">
        <v>4</v>
      </c>
      <c r="B7" s="1" t="s">
        <v>60</v>
      </c>
      <c r="C7" s="1" t="s">
        <v>460</v>
      </c>
      <c r="D7" s="2" t="s">
        <v>64</v>
      </c>
      <c r="E7" s="1" t="s">
        <v>21</v>
      </c>
      <c r="F7" s="12">
        <v>793</v>
      </c>
      <c r="G7" s="13"/>
      <c r="H7" s="11"/>
    </row>
    <row r="8" spans="1:8" x14ac:dyDescent="0.3">
      <c r="A8">
        <v>4</v>
      </c>
      <c r="B8" s="1" t="s">
        <v>60</v>
      </c>
      <c r="C8" s="1" t="s">
        <v>460</v>
      </c>
      <c r="D8" s="2" t="s">
        <v>65</v>
      </c>
      <c r="E8" s="1" t="s">
        <v>21</v>
      </c>
      <c r="F8" s="12">
        <v>793</v>
      </c>
      <c r="G8" s="13"/>
      <c r="H8" s="11"/>
    </row>
    <row r="9" spans="1:8" ht="41.4" x14ac:dyDescent="0.3">
      <c r="A9">
        <v>5</v>
      </c>
      <c r="B9" s="1" t="s">
        <v>60</v>
      </c>
      <c r="C9" s="1" t="s">
        <v>461</v>
      </c>
      <c r="D9" s="2" t="s">
        <v>66</v>
      </c>
      <c r="E9" s="1" t="s">
        <v>21</v>
      </c>
      <c r="F9" s="12">
        <v>449</v>
      </c>
      <c r="G9" s="13"/>
      <c r="H9" s="11"/>
    </row>
    <row r="10" spans="1:8" ht="27.6" x14ac:dyDescent="0.3">
      <c r="A10">
        <v>5</v>
      </c>
      <c r="B10" s="1" t="s">
        <v>60</v>
      </c>
      <c r="C10" s="1" t="s">
        <v>461</v>
      </c>
      <c r="D10" s="2" t="s">
        <v>67</v>
      </c>
      <c r="E10" s="1" t="s">
        <v>21</v>
      </c>
      <c r="F10" s="12">
        <v>449</v>
      </c>
      <c r="G10" s="13"/>
      <c r="H10" s="11"/>
    </row>
    <row r="11" spans="1:8" ht="27.6" x14ac:dyDescent="0.3">
      <c r="A11">
        <v>6</v>
      </c>
      <c r="B11" s="1" t="s">
        <v>60</v>
      </c>
      <c r="C11" s="1" t="s">
        <v>462</v>
      </c>
      <c r="D11" s="2" t="s">
        <v>68</v>
      </c>
      <c r="E11" s="1" t="s">
        <v>21</v>
      </c>
      <c r="F11" s="12">
        <v>28.24</v>
      </c>
      <c r="G11" s="13">
        <v>394.25599858356946</v>
      </c>
      <c r="H11" s="11">
        <f>F11*G11</f>
        <v>11133.789400000001</v>
      </c>
    </row>
    <row r="12" spans="1:8" ht="27.6" x14ac:dyDescent="0.3">
      <c r="A12">
        <v>6</v>
      </c>
      <c r="B12" s="1" t="s">
        <v>60</v>
      </c>
      <c r="C12" s="1" t="s">
        <v>462</v>
      </c>
      <c r="D12" s="2" t="s">
        <v>69</v>
      </c>
      <c r="E12" s="1" t="s">
        <v>21</v>
      </c>
      <c r="F12" s="12">
        <v>13.28</v>
      </c>
      <c r="G12" s="13">
        <v>328</v>
      </c>
      <c r="H12" s="11">
        <f>F12*G12</f>
        <v>4355.84</v>
      </c>
    </row>
    <row r="13" spans="1:8" ht="27.6" x14ac:dyDescent="0.3">
      <c r="A13">
        <v>6</v>
      </c>
      <c r="B13" s="1" t="s">
        <v>60</v>
      </c>
      <c r="C13" s="1" t="s">
        <v>462</v>
      </c>
      <c r="D13" s="2" t="s">
        <v>70</v>
      </c>
      <c r="E13" s="1" t="s">
        <v>44</v>
      </c>
      <c r="F13" s="12">
        <v>8</v>
      </c>
      <c r="G13" s="13">
        <v>135.864</v>
      </c>
      <c r="H13" s="11">
        <f>F13*G13</f>
        <v>1086.912</v>
      </c>
    </row>
    <row r="14" spans="1:8" x14ac:dyDescent="0.3">
      <c r="A14">
        <v>6</v>
      </c>
      <c r="B14" s="1" t="s">
        <v>60</v>
      </c>
      <c r="C14" s="1" t="s">
        <v>462</v>
      </c>
      <c r="D14" s="2" t="s">
        <v>71</v>
      </c>
      <c r="E14" s="1" t="s">
        <v>44</v>
      </c>
      <c r="F14" s="12">
        <v>6</v>
      </c>
      <c r="G14" s="13">
        <v>178.48799999999997</v>
      </c>
      <c r="H14" s="11">
        <f>F14*G14</f>
        <v>1070.9279999999999</v>
      </c>
    </row>
    <row r="15" spans="1:8" ht="27.6" x14ac:dyDescent="0.3">
      <c r="A15">
        <v>6</v>
      </c>
      <c r="B15" s="1" t="s">
        <v>60</v>
      </c>
      <c r="C15" s="1" t="s">
        <v>462</v>
      </c>
      <c r="D15" s="2" t="s">
        <v>72</v>
      </c>
      <c r="E15" s="1" t="s">
        <v>21</v>
      </c>
      <c r="F15" s="12">
        <v>2.58</v>
      </c>
      <c r="G15" s="13">
        <v>266.39999999999998</v>
      </c>
      <c r="H15" s="11">
        <f>F15*G15</f>
        <v>687.31200000000001</v>
      </c>
    </row>
    <row r="16" spans="1:8" ht="27.6" x14ac:dyDescent="0.3">
      <c r="A16">
        <v>6</v>
      </c>
      <c r="B16" s="1" t="s">
        <v>60</v>
      </c>
      <c r="C16" s="1" t="s">
        <v>462</v>
      </c>
      <c r="D16" s="2" t="s">
        <v>73</v>
      </c>
      <c r="E16" s="1" t="s">
        <v>44</v>
      </c>
      <c r="F16" s="12">
        <v>6</v>
      </c>
      <c r="G16" s="13">
        <v>53.6</v>
      </c>
      <c r="H16" s="11">
        <f>F16*G16</f>
        <v>321.60000000000002</v>
      </c>
    </row>
    <row r="17" spans="1:8" ht="27.6" x14ac:dyDescent="0.3">
      <c r="A17">
        <v>7</v>
      </c>
      <c r="B17" s="1" t="s">
        <v>60</v>
      </c>
      <c r="C17" s="1" t="s">
        <v>463</v>
      </c>
      <c r="D17" s="2" t="s">
        <v>74</v>
      </c>
      <c r="E17" s="1" t="s">
        <v>19</v>
      </c>
      <c r="F17" s="12">
        <v>0.218</v>
      </c>
      <c r="G17" s="13">
        <v>37.331000000000003</v>
      </c>
      <c r="H17" s="11">
        <f>F17*G17</f>
        <v>8.1381580000000007</v>
      </c>
    </row>
    <row r="18" spans="1:8" x14ac:dyDescent="0.3">
      <c r="A18">
        <v>7</v>
      </c>
      <c r="B18" s="1" t="s">
        <v>60</v>
      </c>
      <c r="C18" s="1" t="s">
        <v>463</v>
      </c>
      <c r="D18" s="2" t="s">
        <v>75</v>
      </c>
      <c r="E18" s="1" t="s">
        <v>19</v>
      </c>
      <c r="F18" s="12">
        <v>0.71199999999999997</v>
      </c>
      <c r="G18" s="13">
        <v>37.331000000000003</v>
      </c>
      <c r="H18" s="11">
        <f>F18*G18</f>
        <v>26.579672000000002</v>
      </c>
    </row>
    <row r="19" spans="1:8" x14ac:dyDescent="0.3">
      <c r="A19">
        <v>8</v>
      </c>
      <c r="B19" s="1" t="s">
        <v>60</v>
      </c>
      <c r="C19" s="1" t="s">
        <v>464</v>
      </c>
      <c r="D19" s="2" t="s">
        <v>40</v>
      </c>
      <c r="E19" s="1" t="s">
        <v>26</v>
      </c>
      <c r="F19" s="12">
        <v>2.1379320000000002</v>
      </c>
      <c r="G19" s="13">
        <v>0.74000014967735173</v>
      </c>
      <c r="H19" s="11">
        <f>F19*G19</f>
        <v>1.5820700000000001</v>
      </c>
    </row>
    <row r="20" spans="1:8" x14ac:dyDescent="0.3">
      <c r="A20">
        <v>8</v>
      </c>
      <c r="B20" s="1" t="s">
        <v>60</v>
      </c>
      <c r="C20" s="1" t="s">
        <v>464</v>
      </c>
      <c r="D20" s="2" t="s">
        <v>27</v>
      </c>
      <c r="E20" s="1" t="s">
        <v>26</v>
      </c>
      <c r="F20" s="12">
        <v>469.936396</v>
      </c>
      <c r="G20" s="13">
        <v>3.8100000005107071</v>
      </c>
      <c r="H20" s="11">
        <f>F20*G20</f>
        <v>1790.4576689999999</v>
      </c>
    </row>
    <row r="21" spans="1:8" x14ac:dyDescent="0.3">
      <c r="A21">
        <v>9</v>
      </c>
      <c r="B21" s="1" t="s">
        <v>60</v>
      </c>
      <c r="C21" s="1" t="s">
        <v>465</v>
      </c>
      <c r="D21" s="2" t="s">
        <v>76</v>
      </c>
      <c r="E21" s="1" t="s">
        <v>19</v>
      </c>
      <c r="F21" s="12">
        <v>1506.7</v>
      </c>
      <c r="G21" s="13"/>
      <c r="H21" s="11"/>
    </row>
    <row r="22" spans="1:8" x14ac:dyDescent="0.3">
      <c r="A22">
        <v>9</v>
      </c>
      <c r="B22" s="1" t="s">
        <v>60</v>
      </c>
      <c r="C22" s="1" t="s">
        <v>465</v>
      </c>
      <c r="D22" s="2" t="s">
        <v>28</v>
      </c>
      <c r="E22" s="1" t="s">
        <v>19</v>
      </c>
      <c r="F22" s="12">
        <v>469.936396</v>
      </c>
      <c r="G22" s="13"/>
      <c r="H22" s="11"/>
    </row>
    <row r="23" spans="1:8" ht="27.6" x14ac:dyDescent="0.3">
      <c r="A23">
        <v>9</v>
      </c>
      <c r="B23" s="1" t="s">
        <v>60</v>
      </c>
      <c r="C23" s="1" t="s">
        <v>465</v>
      </c>
      <c r="D23" s="2" t="s">
        <v>41</v>
      </c>
      <c r="E23" s="1" t="s">
        <v>19</v>
      </c>
      <c r="F23" s="12">
        <v>2.1379320000000002</v>
      </c>
      <c r="G23" s="13"/>
      <c r="H23" s="11"/>
    </row>
  </sheetData>
  <autoFilter ref="A1:G23" xr:uid="{0EE1454D-6EB7-4F60-8BB2-5A4F7CE1473B}"/>
  <conditionalFormatting sqref="B2:G23">
    <cfRule type="expression" dxfId="87" priority="1">
      <formula>$I2&gt;0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8A80-E9EF-4E93-BB84-19E7027386F0}">
  <sheetPr codeName="Лист8">
    <tabColor rgb="FF00B050"/>
  </sheetPr>
  <dimension ref="A1:H32"/>
  <sheetViews>
    <sheetView topLeftCell="A61" workbookViewId="0">
      <selection sqref="A1:G1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4</v>
      </c>
      <c r="B2" s="1" t="s">
        <v>77</v>
      </c>
      <c r="C2" s="1" t="s">
        <v>469</v>
      </c>
      <c r="D2" s="2" t="s">
        <v>30</v>
      </c>
      <c r="E2" s="1" t="s">
        <v>21</v>
      </c>
      <c r="F2" s="12">
        <v>45.6</v>
      </c>
      <c r="G2" s="13"/>
      <c r="H2" s="11"/>
    </row>
    <row r="3" spans="1:8" ht="41.4" x14ac:dyDescent="0.3">
      <c r="A3">
        <v>4</v>
      </c>
      <c r="B3" s="1" t="s">
        <v>77</v>
      </c>
      <c r="C3" s="1" t="s">
        <v>469</v>
      </c>
      <c r="D3" s="2" t="s">
        <v>78</v>
      </c>
      <c r="E3" s="1" t="s">
        <v>21</v>
      </c>
      <c r="F3" s="12">
        <v>14.4</v>
      </c>
      <c r="G3" s="13"/>
      <c r="H3" s="11"/>
    </row>
    <row r="4" spans="1:8" x14ac:dyDescent="0.3">
      <c r="A4">
        <v>4</v>
      </c>
      <c r="B4" s="1" t="s">
        <v>77</v>
      </c>
      <c r="C4" s="1" t="s">
        <v>469</v>
      </c>
      <c r="D4" s="2" t="s">
        <v>79</v>
      </c>
      <c r="E4" s="1" t="s">
        <v>21</v>
      </c>
      <c r="F4" s="12">
        <v>14.4</v>
      </c>
      <c r="G4" s="13"/>
      <c r="H4" s="11"/>
    </row>
    <row r="5" spans="1:8" ht="41.4" x14ac:dyDescent="0.3">
      <c r="A5">
        <v>4</v>
      </c>
      <c r="B5" s="1" t="s">
        <v>77</v>
      </c>
      <c r="C5" s="1" t="s">
        <v>469</v>
      </c>
      <c r="D5" s="2" t="s">
        <v>80</v>
      </c>
      <c r="E5" s="1" t="s">
        <v>21</v>
      </c>
      <c r="F5" s="12">
        <v>6.4</v>
      </c>
      <c r="G5" s="13">
        <v>281.58</v>
      </c>
      <c r="H5" s="11">
        <f>F5*G5</f>
        <v>1802.1120000000001</v>
      </c>
    </row>
    <row r="6" spans="1:8" ht="41.4" x14ac:dyDescent="0.3">
      <c r="A6">
        <v>4</v>
      </c>
      <c r="B6" s="1" t="s">
        <v>77</v>
      </c>
      <c r="C6" s="1" t="s">
        <v>469</v>
      </c>
      <c r="D6" s="2" t="s">
        <v>81</v>
      </c>
      <c r="E6" s="1" t="s">
        <v>21</v>
      </c>
      <c r="F6" s="12">
        <v>19.100000000000001</v>
      </c>
      <c r="G6" s="13">
        <v>615</v>
      </c>
      <c r="H6" s="11">
        <f>F6*G6</f>
        <v>11746.5</v>
      </c>
    </row>
    <row r="7" spans="1:8" ht="27.6" x14ac:dyDescent="0.3">
      <c r="A7">
        <v>4</v>
      </c>
      <c r="B7" s="1" t="s">
        <v>77</v>
      </c>
      <c r="C7" s="1" t="s">
        <v>469</v>
      </c>
      <c r="D7" s="2" t="s">
        <v>82</v>
      </c>
      <c r="E7" s="1" t="s">
        <v>106</v>
      </c>
      <c r="F7" s="12">
        <v>25.5</v>
      </c>
      <c r="G7" s="13">
        <v>52</v>
      </c>
      <c r="H7" s="11">
        <f>F7*G7</f>
        <v>1326</v>
      </c>
    </row>
    <row r="8" spans="1:8" ht="27.6" x14ac:dyDescent="0.3">
      <c r="A8">
        <v>4</v>
      </c>
      <c r="B8" s="1" t="s">
        <v>77</v>
      </c>
      <c r="C8" s="1" t="s">
        <v>469</v>
      </c>
      <c r="D8" s="2" t="s">
        <v>83</v>
      </c>
      <c r="E8" s="1" t="s">
        <v>21</v>
      </c>
      <c r="F8" s="12">
        <v>2.6</v>
      </c>
      <c r="G8" s="13">
        <v>615</v>
      </c>
      <c r="H8" s="11">
        <f>F8*G8</f>
        <v>1599</v>
      </c>
    </row>
    <row r="9" spans="1:8" ht="27.6" x14ac:dyDescent="0.3">
      <c r="A9">
        <v>4</v>
      </c>
      <c r="B9" s="1" t="s">
        <v>77</v>
      </c>
      <c r="C9" s="1" t="s">
        <v>469</v>
      </c>
      <c r="D9" s="2" t="s">
        <v>84</v>
      </c>
      <c r="E9" s="1" t="s">
        <v>21</v>
      </c>
      <c r="F9" s="12">
        <v>54.6</v>
      </c>
      <c r="G9" s="13"/>
      <c r="H9" s="11"/>
    </row>
    <row r="10" spans="1:8" x14ac:dyDescent="0.3">
      <c r="A10">
        <v>4</v>
      </c>
      <c r="B10" s="1" t="s">
        <v>77</v>
      </c>
      <c r="C10" s="1" t="s">
        <v>469</v>
      </c>
      <c r="D10" s="2" t="s">
        <v>85</v>
      </c>
      <c r="E10" s="1" t="s">
        <v>21</v>
      </c>
      <c r="F10" s="12">
        <v>54.6</v>
      </c>
      <c r="G10" s="13"/>
      <c r="H10" s="11"/>
    </row>
    <row r="11" spans="1:8" ht="27.6" x14ac:dyDescent="0.3">
      <c r="A11">
        <v>4</v>
      </c>
      <c r="B11" s="1" t="s">
        <v>77</v>
      </c>
      <c r="C11" s="1" t="s">
        <v>469</v>
      </c>
      <c r="D11" s="2" t="s">
        <v>86</v>
      </c>
      <c r="E11" s="1" t="s">
        <v>21</v>
      </c>
      <c r="F11" s="12">
        <v>19.099999999999998</v>
      </c>
      <c r="G11" s="13"/>
      <c r="H11" s="11"/>
    </row>
    <row r="12" spans="1:8" x14ac:dyDescent="0.3">
      <c r="A12">
        <v>4</v>
      </c>
      <c r="B12" s="1" t="s">
        <v>77</v>
      </c>
      <c r="C12" s="1" t="s">
        <v>469</v>
      </c>
      <c r="D12" s="2" t="s">
        <v>85</v>
      </c>
      <c r="E12" s="1" t="s">
        <v>21</v>
      </c>
      <c r="F12" s="12">
        <v>19.099999999999998</v>
      </c>
      <c r="G12" s="13"/>
      <c r="H12" s="11"/>
    </row>
    <row r="13" spans="1:8" ht="27.6" x14ac:dyDescent="0.3">
      <c r="A13">
        <v>4</v>
      </c>
      <c r="B13" s="1" t="s">
        <v>77</v>
      </c>
      <c r="C13" s="1" t="s">
        <v>469</v>
      </c>
      <c r="D13" s="2" t="s">
        <v>87</v>
      </c>
      <c r="E13" s="1" t="s">
        <v>21</v>
      </c>
      <c r="F13" s="12">
        <v>54.6</v>
      </c>
      <c r="G13" s="13"/>
      <c r="H13" s="11"/>
    </row>
    <row r="14" spans="1:8" ht="27.6" x14ac:dyDescent="0.3">
      <c r="A14">
        <v>4</v>
      </c>
      <c r="B14" s="1" t="s">
        <v>77</v>
      </c>
      <c r="C14" s="1" t="s">
        <v>469</v>
      </c>
      <c r="D14" s="2" t="s">
        <v>88</v>
      </c>
      <c r="E14" s="1" t="s">
        <v>21</v>
      </c>
      <c r="F14" s="12">
        <v>54.6</v>
      </c>
      <c r="G14" s="13"/>
      <c r="H14" s="11"/>
    </row>
    <row r="15" spans="1:8" ht="27.6" x14ac:dyDescent="0.3">
      <c r="A15">
        <v>4</v>
      </c>
      <c r="B15" s="1" t="s">
        <v>77</v>
      </c>
      <c r="C15" s="1" t="s">
        <v>469</v>
      </c>
      <c r="D15" s="2" t="s">
        <v>89</v>
      </c>
      <c r="E15" s="1" t="s">
        <v>21</v>
      </c>
      <c r="F15" s="12">
        <v>19.099999999999998</v>
      </c>
      <c r="G15" s="13"/>
      <c r="H15" s="11"/>
    </row>
    <row r="16" spans="1:8" ht="27.6" x14ac:dyDescent="0.3">
      <c r="A16">
        <v>4</v>
      </c>
      <c r="B16" s="1" t="s">
        <v>77</v>
      </c>
      <c r="C16" s="1" t="s">
        <v>469</v>
      </c>
      <c r="D16" s="2" t="s">
        <v>88</v>
      </c>
      <c r="E16" s="1" t="s">
        <v>21</v>
      </c>
      <c r="F16" s="12">
        <v>19.099999999999998</v>
      </c>
      <c r="G16" s="13"/>
      <c r="H16" s="11"/>
    </row>
    <row r="17" spans="1:8" ht="41.4" x14ac:dyDescent="0.3">
      <c r="A17">
        <v>5</v>
      </c>
      <c r="B17" s="1" t="s">
        <v>77</v>
      </c>
      <c r="C17" s="1" t="s">
        <v>470</v>
      </c>
      <c r="D17" s="2" t="s">
        <v>90</v>
      </c>
      <c r="E17" s="1" t="s">
        <v>21</v>
      </c>
      <c r="F17" s="12">
        <v>51.6</v>
      </c>
      <c r="G17" s="13"/>
      <c r="H17" s="11"/>
    </row>
    <row r="18" spans="1:8" ht="27.6" x14ac:dyDescent="0.3">
      <c r="A18">
        <v>5</v>
      </c>
      <c r="B18" s="1" t="s">
        <v>77</v>
      </c>
      <c r="C18" s="1" t="s">
        <v>470</v>
      </c>
      <c r="D18" s="2" t="s">
        <v>39</v>
      </c>
      <c r="E18" s="1" t="s">
        <v>21</v>
      </c>
      <c r="F18" s="12">
        <v>51.6</v>
      </c>
      <c r="G18" s="13"/>
      <c r="H18" s="11"/>
    </row>
    <row r="19" spans="1:8" ht="41.4" x14ac:dyDescent="0.3">
      <c r="A19">
        <v>5</v>
      </c>
      <c r="B19" s="1" t="s">
        <v>77</v>
      </c>
      <c r="C19" s="1" t="s">
        <v>470</v>
      </c>
      <c r="D19" s="2" t="s">
        <v>91</v>
      </c>
      <c r="E19" s="1" t="s">
        <v>21</v>
      </c>
      <c r="F19" s="12">
        <v>19.099999999999998</v>
      </c>
      <c r="G19" s="13"/>
      <c r="H19" s="11"/>
    </row>
    <row r="20" spans="1:8" ht="27.6" x14ac:dyDescent="0.3">
      <c r="A20">
        <v>5</v>
      </c>
      <c r="B20" s="1" t="s">
        <v>77</v>
      </c>
      <c r="C20" s="1" t="s">
        <v>470</v>
      </c>
      <c r="D20" s="2" t="s">
        <v>92</v>
      </c>
      <c r="E20" s="1" t="s">
        <v>21</v>
      </c>
      <c r="F20" s="12">
        <v>19.099999999999998</v>
      </c>
      <c r="G20" s="13"/>
      <c r="H20" s="11"/>
    </row>
    <row r="21" spans="1:8" x14ac:dyDescent="0.3">
      <c r="A21">
        <v>5</v>
      </c>
      <c r="B21" s="1" t="s">
        <v>77</v>
      </c>
      <c r="C21" s="1" t="s">
        <v>470</v>
      </c>
      <c r="D21" s="2" t="s">
        <v>93</v>
      </c>
      <c r="E21" s="1" t="s">
        <v>21</v>
      </c>
      <c r="F21" s="12">
        <v>3</v>
      </c>
      <c r="G21" s="13">
        <v>222</v>
      </c>
      <c r="H21" s="11">
        <f>F21*G21</f>
        <v>666</v>
      </c>
    </row>
    <row r="22" spans="1:8" ht="27.6" x14ac:dyDescent="0.3">
      <c r="A22">
        <v>5</v>
      </c>
      <c r="B22" s="1" t="s">
        <v>77</v>
      </c>
      <c r="C22" s="1" t="s">
        <v>470</v>
      </c>
      <c r="D22" s="2" t="s">
        <v>94</v>
      </c>
      <c r="E22" s="1" t="s">
        <v>21</v>
      </c>
      <c r="F22" s="12">
        <v>51.6</v>
      </c>
      <c r="G22" s="13">
        <v>17</v>
      </c>
      <c r="H22" s="11">
        <f>F22*G22</f>
        <v>877.2</v>
      </c>
    </row>
    <row r="23" spans="1:8" ht="27.6" x14ac:dyDescent="0.3">
      <c r="A23">
        <v>5</v>
      </c>
      <c r="B23" s="1" t="s">
        <v>77</v>
      </c>
      <c r="C23" s="1" t="s">
        <v>470</v>
      </c>
      <c r="D23" s="2" t="s">
        <v>95</v>
      </c>
      <c r="E23" s="1" t="s">
        <v>21</v>
      </c>
      <c r="F23" s="12">
        <v>19.100000000000001</v>
      </c>
      <c r="G23" s="13">
        <v>52.999999999999993</v>
      </c>
      <c r="H23" s="11">
        <f>F23*G23</f>
        <v>1012.3</v>
      </c>
    </row>
    <row r="24" spans="1:8" x14ac:dyDescent="0.3">
      <c r="A24">
        <v>6</v>
      </c>
      <c r="B24" s="1" t="s">
        <v>77</v>
      </c>
      <c r="C24" s="1" t="s">
        <v>471</v>
      </c>
      <c r="D24" s="2" t="s">
        <v>96</v>
      </c>
      <c r="E24" s="1" t="s">
        <v>21</v>
      </c>
      <c r="F24" s="12">
        <v>2.1</v>
      </c>
      <c r="G24" s="13">
        <v>13.219999999999997</v>
      </c>
      <c r="H24" s="11">
        <f>F24*G24</f>
        <v>27.761999999999993</v>
      </c>
    </row>
    <row r="25" spans="1:8" x14ac:dyDescent="0.3">
      <c r="A25">
        <v>6</v>
      </c>
      <c r="B25" s="1" t="s">
        <v>77</v>
      </c>
      <c r="C25" s="1" t="s">
        <v>471</v>
      </c>
      <c r="D25" s="2" t="s">
        <v>97</v>
      </c>
      <c r="E25" s="1" t="s">
        <v>21</v>
      </c>
      <c r="F25" s="12">
        <v>1.77</v>
      </c>
      <c r="G25" s="13">
        <v>1333.6000000000001</v>
      </c>
      <c r="H25" s="11">
        <f>F25*G25</f>
        <v>2360.4720000000002</v>
      </c>
    </row>
    <row r="26" spans="1:8" ht="27.6" x14ac:dyDescent="0.3">
      <c r="A26">
        <v>6</v>
      </c>
      <c r="B26" s="1" t="s">
        <v>77</v>
      </c>
      <c r="C26" s="1" t="s">
        <v>471</v>
      </c>
      <c r="D26" s="2" t="s">
        <v>98</v>
      </c>
      <c r="E26" s="1" t="s">
        <v>21</v>
      </c>
      <c r="F26" s="12">
        <v>0.41000000000000003</v>
      </c>
      <c r="G26" s="13">
        <v>155.63999999999999</v>
      </c>
      <c r="H26" s="11">
        <f>F26*G26</f>
        <v>63.812399999999997</v>
      </c>
    </row>
    <row r="27" spans="1:8" x14ac:dyDescent="0.3">
      <c r="A27">
        <v>7</v>
      </c>
      <c r="B27" s="1" t="s">
        <v>77</v>
      </c>
      <c r="C27" s="1" t="s">
        <v>472</v>
      </c>
      <c r="D27" s="2" t="s">
        <v>27</v>
      </c>
      <c r="E27" s="1" t="s">
        <v>26</v>
      </c>
      <c r="F27" s="12">
        <v>10.7</v>
      </c>
      <c r="G27" s="13">
        <v>3.8100000000000005</v>
      </c>
      <c r="H27" s="11">
        <f>F27*G27</f>
        <v>40.767000000000003</v>
      </c>
    </row>
    <row r="28" spans="1:8" x14ac:dyDescent="0.3">
      <c r="A28">
        <v>8</v>
      </c>
      <c r="B28" s="1" t="s">
        <v>77</v>
      </c>
      <c r="C28" s="1" t="s">
        <v>473</v>
      </c>
      <c r="D28" s="2" t="s">
        <v>99</v>
      </c>
      <c r="E28" s="1" t="s">
        <v>19</v>
      </c>
      <c r="F28" s="12">
        <v>25.2</v>
      </c>
      <c r="G28" s="13"/>
      <c r="H28" s="11"/>
    </row>
    <row r="29" spans="1:8" x14ac:dyDescent="0.3">
      <c r="A29">
        <v>8</v>
      </c>
      <c r="B29" s="1" t="s">
        <v>77</v>
      </c>
      <c r="C29" s="1" t="s">
        <v>473</v>
      </c>
      <c r="D29" s="2" t="s">
        <v>28</v>
      </c>
      <c r="E29" s="1" t="s">
        <v>19</v>
      </c>
      <c r="F29" s="12">
        <v>10.7</v>
      </c>
      <c r="G29" s="13"/>
      <c r="H29" s="11"/>
    </row>
    <row r="30" spans="1:8" x14ac:dyDescent="0.3">
      <c r="A30">
        <v>1</v>
      </c>
      <c r="B30" s="1" t="s">
        <v>77</v>
      </c>
      <c r="C30" s="1" t="s">
        <v>466</v>
      </c>
      <c r="D30" s="2" t="s">
        <v>121</v>
      </c>
      <c r="E30" s="1" t="s">
        <v>19</v>
      </c>
      <c r="F30" s="12">
        <v>0.45</v>
      </c>
      <c r="G30" s="13">
        <v>23.541</v>
      </c>
      <c r="H30" s="11">
        <f>F30*G30</f>
        <v>10.593450000000001</v>
      </c>
    </row>
    <row r="31" spans="1:8" x14ac:dyDescent="0.3">
      <c r="A31">
        <v>2</v>
      </c>
      <c r="B31" s="1" t="s">
        <v>77</v>
      </c>
      <c r="C31" s="1" t="s">
        <v>467</v>
      </c>
      <c r="D31" s="2" t="s">
        <v>40</v>
      </c>
      <c r="E31" s="1" t="s">
        <v>26</v>
      </c>
      <c r="F31" s="12">
        <v>0.45</v>
      </c>
      <c r="G31" s="13">
        <v>0.74</v>
      </c>
      <c r="H31" s="11">
        <f>F31*G31</f>
        <v>0.33300000000000002</v>
      </c>
    </row>
    <row r="32" spans="1:8" ht="27.6" x14ac:dyDescent="0.3">
      <c r="A32">
        <v>3</v>
      </c>
      <c r="B32" s="1" t="s">
        <v>77</v>
      </c>
      <c r="C32" s="1" t="s">
        <v>468</v>
      </c>
      <c r="D32" s="2" t="s">
        <v>41</v>
      </c>
      <c r="E32" s="1" t="s">
        <v>19</v>
      </c>
      <c r="F32" s="12">
        <v>0.45</v>
      </c>
      <c r="G32" s="13"/>
      <c r="H32" s="11"/>
    </row>
  </sheetData>
  <autoFilter ref="A1:G32" xr:uid="{AC308A80-E9EF-4E93-BB84-19E7027386F0}"/>
  <conditionalFormatting sqref="B2:G32">
    <cfRule type="expression" dxfId="86" priority="1">
      <formula>$I2&gt;0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755D8-266C-4F4C-8D42-DFA8ACE47067}">
  <sheetPr codeName="Лист1">
    <tabColor rgb="FF00B050"/>
  </sheetPr>
  <dimension ref="A1:I30"/>
  <sheetViews>
    <sheetView topLeftCell="A121" workbookViewId="0">
      <selection activeCell="D10" sqref="D10"/>
    </sheetView>
  </sheetViews>
  <sheetFormatPr defaultRowHeight="14.4" x14ac:dyDescent="0.3"/>
  <cols>
    <col min="1" max="1" width="13.44140625" customWidth="1"/>
    <col min="2" max="2" width="26.5546875" customWidth="1"/>
    <col min="3" max="3" width="29.6640625" customWidth="1"/>
    <col min="4" max="4" width="82.21875" customWidth="1"/>
  </cols>
  <sheetData>
    <row r="1" spans="1:9" ht="69" x14ac:dyDescent="0.3">
      <c r="A1" s="7"/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9" ht="41.4" x14ac:dyDescent="0.3">
      <c r="A2" s="8">
        <v>9</v>
      </c>
      <c r="B2" s="4" t="s">
        <v>100</v>
      </c>
      <c r="C2" s="4" t="s">
        <v>474</v>
      </c>
      <c r="D2" s="4" t="s">
        <v>101</v>
      </c>
      <c r="E2" s="4" t="s">
        <v>753</v>
      </c>
      <c r="F2" s="9">
        <v>1.5</v>
      </c>
      <c r="G2" s="10">
        <v>24.905999999999995</v>
      </c>
      <c r="H2" s="15">
        <f>F2*G2</f>
        <v>37.358999999999995</v>
      </c>
      <c r="I2" s="8"/>
    </row>
    <row r="3" spans="1:9" ht="41.4" x14ac:dyDescent="0.3">
      <c r="A3" s="8">
        <v>9</v>
      </c>
      <c r="B3" s="4" t="s">
        <v>100</v>
      </c>
      <c r="C3" s="4" t="s">
        <v>474</v>
      </c>
      <c r="D3" s="4" t="s">
        <v>102</v>
      </c>
      <c r="E3" s="4" t="s">
        <v>753</v>
      </c>
      <c r="F3" s="9">
        <v>4.5</v>
      </c>
      <c r="G3" s="10">
        <v>49.368000000000002</v>
      </c>
      <c r="H3" s="15">
        <f>F3*G3</f>
        <v>222.15600000000001</v>
      </c>
      <c r="I3" s="8"/>
    </row>
    <row r="4" spans="1:9" ht="41.4" x14ac:dyDescent="0.3">
      <c r="A4" s="8">
        <v>10</v>
      </c>
      <c r="B4" s="4" t="s">
        <v>100</v>
      </c>
      <c r="C4" s="4" t="s">
        <v>475</v>
      </c>
      <c r="D4" s="4" t="s">
        <v>40</v>
      </c>
      <c r="E4" s="4" t="s">
        <v>26</v>
      </c>
      <c r="F4" s="9">
        <v>2.4E-2</v>
      </c>
      <c r="G4" s="10">
        <v>0.74</v>
      </c>
      <c r="H4" s="15">
        <f>F4*G4</f>
        <v>1.7760000000000001E-2</v>
      </c>
      <c r="I4" s="8"/>
    </row>
    <row r="5" spans="1:9" ht="41.4" x14ac:dyDescent="0.3">
      <c r="A5" s="8">
        <v>11</v>
      </c>
      <c r="B5" s="4" t="s">
        <v>100</v>
      </c>
      <c r="C5" s="4" t="s">
        <v>476</v>
      </c>
      <c r="D5" s="4" t="s">
        <v>41</v>
      </c>
      <c r="E5" s="4" t="s">
        <v>19</v>
      </c>
      <c r="F5" s="9">
        <v>2.4E-2</v>
      </c>
      <c r="G5" s="10"/>
      <c r="H5" s="15"/>
      <c r="I5" s="8"/>
    </row>
    <row r="6" spans="1:9" ht="41.4" x14ac:dyDescent="0.3">
      <c r="A6" s="8">
        <v>12</v>
      </c>
      <c r="B6" s="4" t="s">
        <v>100</v>
      </c>
      <c r="C6" s="4" t="s">
        <v>477</v>
      </c>
      <c r="D6" s="4" t="s">
        <v>103</v>
      </c>
      <c r="E6" s="4" t="s">
        <v>104</v>
      </c>
      <c r="F6" s="9">
        <v>1</v>
      </c>
      <c r="G6" s="10">
        <v>0.28199999999999997</v>
      </c>
      <c r="H6" s="15">
        <f>F6*G6</f>
        <v>0.28199999999999997</v>
      </c>
      <c r="I6" s="8"/>
    </row>
    <row r="7" spans="1:9" ht="41.4" x14ac:dyDescent="0.3">
      <c r="A7" s="8">
        <v>12</v>
      </c>
      <c r="B7" s="4" t="s">
        <v>100</v>
      </c>
      <c r="C7" s="4" t="s">
        <v>477</v>
      </c>
      <c r="D7" s="4" t="s">
        <v>103</v>
      </c>
      <c r="E7" s="4" t="s">
        <v>104</v>
      </c>
      <c r="F7" s="9">
        <v>1</v>
      </c>
      <c r="G7" s="10">
        <v>0.28199999999999997</v>
      </c>
      <c r="H7" s="15">
        <f>F7*G7</f>
        <v>0.28199999999999997</v>
      </c>
      <c r="I7" s="8"/>
    </row>
    <row r="8" spans="1:9" ht="41.4" x14ac:dyDescent="0.3">
      <c r="A8" s="8">
        <v>12</v>
      </c>
      <c r="B8" s="4" t="s">
        <v>100</v>
      </c>
      <c r="C8" s="4" t="s">
        <v>477</v>
      </c>
      <c r="D8" s="4" t="s">
        <v>105</v>
      </c>
      <c r="E8" s="4" t="s">
        <v>106</v>
      </c>
      <c r="F8" s="9">
        <v>0.214</v>
      </c>
      <c r="G8" s="10">
        <v>3.4499999999999997</v>
      </c>
      <c r="H8" s="15">
        <f>F8*G8</f>
        <v>0.73829999999999996</v>
      </c>
      <c r="I8" s="8"/>
    </row>
    <row r="9" spans="1:9" ht="41.4" x14ac:dyDescent="0.3">
      <c r="A9" s="8">
        <v>12</v>
      </c>
      <c r="B9" s="4" t="s">
        <v>100</v>
      </c>
      <c r="C9" s="4" t="s">
        <v>477</v>
      </c>
      <c r="D9" s="4" t="s">
        <v>107</v>
      </c>
      <c r="E9" s="4" t="s">
        <v>106</v>
      </c>
      <c r="F9" s="9">
        <v>1.26</v>
      </c>
      <c r="G9" s="10">
        <v>48.528015873015875</v>
      </c>
      <c r="H9" s="15">
        <f>F9*G9</f>
        <v>61.145300000000006</v>
      </c>
      <c r="I9" s="8"/>
    </row>
    <row r="10" spans="1:9" ht="41.4" x14ac:dyDescent="0.3">
      <c r="A10" s="8">
        <v>12</v>
      </c>
      <c r="B10" s="4" t="s">
        <v>100</v>
      </c>
      <c r="C10" s="4" t="s">
        <v>477</v>
      </c>
      <c r="D10" s="4" t="s">
        <v>108</v>
      </c>
      <c r="E10" s="4" t="s">
        <v>109</v>
      </c>
      <c r="F10" s="9">
        <v>1</v>
      </c>
      <c r="G10" s="10">
        <v>3.9239999999999999</v>
      </c>
      <c r="H10" s="15">
        <f>F10*G10</f>
        <v>3.9239999999999999</v>
      </c>
      <c r="I10" s="8"/>
    </row>
    <row r="11" spans="1:9" ht="41.4" x14ac:dyDescent="0.3">
      <c r="A11" s="8">
        <v>13</v>
      </c>
      <c r="B11" s="4" t="s">
        <v>100</v>
      </c>
      <c r="C11" s="4" t="s">
        <v>478</v>
      </c>
      <c r="D11" s="4" t="s">
        <v>27</v>
      </c>
      <c r="E11" s="4" t="s">
        <v>26</v>
      </c>
      <c r="F11" s="9">
        <v>3.5000000000000003E-2</v>
      </c>
      <c r="G11" s="10">
        <v>3.8099999999999996</v>
      </c>
      <c r="H11" s="15">
        <f>F11*G11</f>
        <v>0.13335</v>
      </c>
      <c r="I11" s="8"/>
    </row>
    <row r="12" spans="1:9" ht="41.4" x14ac:dyDescent="0.3">
      <c r="A12" s="8">
        <v>13</v>
      </c>
      <c r="B12" s="4" t="s">
        <v>100</v>
      </c>
      <c r="C12" s="4" t="s">
        <v>478</v>
      </c>
      <c r="D12" s="4" t="s">
        <v>40</v>
      </c>
      <c r="E12" s="4" t="s">
        <v>26</v>
      </c>
      <c r="F12" s="9">
        <v>9.6000000000000002E-2</v>
      </c>
      <c r="G12" s="10">
        <v>0.74</v>
      </c>
      <c r="H12" s="15">
        <f>F12*G12</f>
        <v>7.1040000000000006E-2</v>
      </c>
      <c r="I12" s="8"/>
    </row>
    <row r="13" spans="1:9" ht="41.4" x14ac:dyDescent="0.3">
      <c r="A13" s="8">
        <v>14</v>
      </c>
      <c r="B13" s="4" t="s">
        <v>100</v>
      </c>
      <c r="C13" s="4" t="s">
        <v>479</v>
      </c>
      <c r="D13" s="4" t="s">
        <v>41</v>
      </c>
      <c r="E13" s="4" t="s">
        <v>19</v>
      </c>
      <c r="F13" s="9">
        <v>9.6000000000000002E-2</v>
      </c>
      <c r="G13" s="10"/>
      <c r="H13" s="15"/>
      <c r="I13" s="8"/>
    </row>
    <row r="14" spans="1:9" ht="41.4" x14ac:dyDescent="0.3">
      <c r="A14" s="8">
        <v>14</v>
      </c>
      <c r="B14" s="4" t="s">
        <v>100</v>
      </c>
      <c r="C14" s="4" t="s">
        <v>479</v>
      </c>
      <c r="D14" s="4" t="s">
        <v>28</v>
      </c>
      <c r="E14" s="4" t="s">
        <v>19</v>
      </c>
      <c r="F14" s="9">
        <v>3.5000000000000003E-2</v>
      </c>
      <c r="G14" s="10"/>
      <c r="H14" s="15"/>
      <c r="I14" s="8"/>
    </row>
    <row r="15" spans="1:9" ht="41.4" x14ac:dyDescent="0.3">
      <c r="A15" s="8">
        <v>20</v>
      </c>
      <c r="B15" s="4" t="s">
        <v>100</v>
      </c>
      <c r="C15" s="4" t="s">
        <v>480</v>
      </c>
      <c r="D15" s="4" t="s">
        <v>110</v>
      </c>
      <c r="E15" s="4" t="s">
        <v>753</v>
      </c>
      <c r="F15" s="9">
        <v>1</v>
      </c>
      <c r="G15" s="10">
        <v>47.4</v>
      </c>
      <c r="H15" s="15">
        <f>F15*G15</f>
        <v>47.4</v>
      </c>
      <c r="I15" s="8"/>
    </row>
    <row r="16" spans="1:9" ht="41.4" x14ac:dyDescent="0.3">
      <c r="A16" s="8">
        <v>20</v>
      </c>
      <c r="B16" s="4" t="s">
        <v>100</v>
      </c>
      <c r="C16" s="4" t="s">
        <v>480</v>
      </c>
      <c r="D16" s="4" t="s">
        <v>111</v>
      </c>
      <c r="E16" s="4" t="s">
        <v>106</v>
      </c>
      <c r="F16" s="9">
        <v>3.5000000000000004</v>
      </c>
      <c r="G16" s="10">
        <v>10.487999999999998</v>
      </c>
      <c r="H16" s="15">
        <f>F16*G16</f>
        <v>36.707999999999998</v>
      </c>
      <c r="I16" s="8"/>
    </row>
    <row r="17" spans="1:9" ht="41.4" x14ac:dyDescent="0.3">
      <c r="A17" s="8">
        <v>20</v>
      </c>
      <c r="B17" s="4" t="s">
        <v>100</v>
      </c>
      <c r="C17" s="4" t="s">
        <v>480</v>
      </c>
      <c r="D17" s="4" t="s">
        <v>112</v>
      </c>
      <c r="E17" s="4" t="s">
        <v>44</v>
      </c>
      <c r="F17" s="9">
        <v>2</v>
      </c>
      <c r="G17" s="10">
        <v>1.3680000000000001</v>
      </c>
      <c r="H17" s="15">
        <f>F17*G17</f>
        <v>2.7360000000000002</v>
      </c>
      <c r="I17" s="8"/>
    </row>
    <row r="18" spans="1:9" ht="41.4" x14ac:dyDescent="0.3">
      <c r="A18" s="8">
        <v>20</v>
      </c>
      <c r="B18" s="4" t="s">
        <v>100</v>
      </c>
      <c r="C18" s="4" t="s">
        <v>480</v>
      </c>
      <c r="D18" s="4" t="s">
        <v>113</v>
      </c>
      <c r="E18" s="4" t="s">
        <v>44</v>
      </c>
      <c r="F18" s="9">
        <v>2</v>
      </c>
      <c r="G18" s="10">
        <v>1.3680000000000001</v>
      </c>
      <c r="H18" s="15">
        <f>F18*G18</f>
        <v>2.7360000000000002</v>
      </c>
      <c r="I18" s="8"/>
    </row>
    <row r="19" spans="1:9" ht="41.4" x14ac:dyDescent="0.3">
      <c r="A19" s="8">
        <v>20</v>
      </c>
      <c r="B19" s="4" t="s">
        <v>100</v>
      </c>
      <c r="C19" s="4" t="s">
        <v>480</v>
      </c>
      <c r="D19" s="4" t="s">
        <v>114</v>
      </c>
      <c r="E19" s="4" t="s">
        <v>44</v>
      </c>
      <c r="F19" s="9">
        <v>1</v>
      </c>
      <c r="G19" s="10">
        <v>30</v>
      </c>
      <c r="H19" s="15">
        <f>F19*G19</f>
        <v>30</v>
      </c>
      <c r="I19" s="8"/>
    </row>
    <row r="20" spans="1:9" ht="41.4" x14ac:dyDescent="0.3">
      <c r="A20" s="8">
        <v>15</v>
      </c>
      <c r="B20" s="4" t="s">
        <v>100</v>
      </c>
      <c r="C20" s="4" t="s">
        <v>481</v>
      </c>
      <c r="D20" s="4" t="s">
        <v>27</v>
      </c>
      <c r="E20" s="4" t="s">
        <v>26</v>
      </c>
      <c r="F20" s="9">
        <v>0.21099999999999999</v>
      </c>
      <c r="G20" s="10">
        <v>3.81</v>
      </c>
      <c r="H20" s="15">
        <f>F20*G20</f>
        <v>0.80391000000000001</v>
      </c>
      <c r="I20" s="8"/>
    </row>
    <row r="21" spans="1:9" ht="41.4" x14ac:dyDescent="0.3">
      <c r="A21" s="8">
        <v>15</v>
      </c>
      <c r="B21" s="4" t="s">
        <v>100</v>
      </c>
      <c r="C21" s="4" t="s">
        <v>481</v>
      </c>
      <c r="D21" s="4" t="s">
        <v>115</v>
      </c>
      <c r="E21" s="4" t="s">
        <v>26</v>
      </c>
      <c r="F21" s="9">
        <v>3.5470000000000002</v>
      </c>
      <c r="G21" s="10">
        <v>0.74</v>
      </c>
      <c r="H21" s="15">
        <f>F21*G21</f>
        <v>2.6247799999999999</v>
      </c>
      <c r="I21" s="8"/>
    </row>
    <row r="22" spans="1:9" ht="41.4" x14ac:dyDescent="0.3">
      <c r="A22" s="8">
        <v>16</v>
      </c>
      <c r="B22" s="4" t="s">
        <v>100</v>
      </c>
      <c r="C22" s="4" t="s">
        <v>482</v>
      </c>
      <c r="D22" s="4" t="s">
        <v>28</v>
      </c>
      <c r="E22" s="4" t="s">
        <v>19</v>
      </c>
      <c r="F22" s="9">
        <v>0.21099999999999999</v>
      </c>
      <c r="G22" s="10"/>
      <c r="H22" s="15"/>
      <c r="I22" s="8"/>
    </row>
    <row r="23" spans="1:9" ht="41.4" x14ac:dyDescent="0.3">
      <c r="A23" s="8">
        <v>16</v>
      </c>
      <c r="B23" s="4" t="s">
        <v>100</v>
      </c>
      <c r="C23" s="4" t="s">
        <v>482</v>
      </c>
      <c r="D23" s="4" t="s">
        <v>41</v>
      </c>
      <c r="E23" s="4" t="s">
        <v>19</v>
      </c>
      <c r="F23" s="9">
        <v>3.5470000000000002</v>
      </c>
      <c r="G23" s="10"/>
      <c r="H23" s="15"/>
      <c r="I23" s="8"/>
    </row>
    <row r="24" spans="1:9" ht="69" x14ac:dyDescent="0.3">
      <c r="A24" s="8">
        <v>17</v>
      </c>
      <c r="B24" s="4" t="s">
        <v>100</v>
      </c>
      <c r="C24" s="4" t="s">
        <v>483</v>
      </c>
      <c r="D24" s="4" t="s">
        <v>116</v>
      </c>
      <c r="E24" s="4" t="s">
        <v>117</v>
      </c>
      <c r="F24" s="9">
        <v>2</v>
      </c>
      <c r="G24" s="10">
        <v>8.5020000000000007</v>
      </c>
      <c r="H24" s="15">
        <f>F24*G24</f>
        <v>17.004000000000001</v>
      </c>
      <c r="I24" s="8"/>
    </row>
    <row r="25" spans="1:9" ht="69" x14ac:dyDescent="0.3">
      <c r="A25" s="8">
        <v>17</v>
      </c>
      <c r="B25" s="4" t="s">
        <v>100</v>
      </c>
      <c r="C25" s="4" t="s">
        <v>483</v>
      </c>
      <c r="D25" s="4" t="s">
        <v>118</v>
      </c>
      <c r="E25" s="4" t="s">
        <v>19</v>
      </c>
      <c r="F25" s="9">
        <v>0.45</v>
      </c>
      <c r="G25" s="10">
        <v>16.001999999999999</v>
      </c>
      <c r="H25" s="15">
        <f>F25*G25</f>
        <v>7.2008999999999999</v>
      </c>
      <c r="I25" s="8"/>
    </row>
    <row r="26" spans="1:9" ht="69" x14ac:dyDescent="0.3">
      <c r="A26" s="8">
        <v>17</v>
      </c>
      <c r="B26" s="4" t="s">
        <v>100</v>
      </c>
      <c r="C26" s="4" t="s">
        <v>483</v>
      </c>
      <c r="D26" s="4" t="s">
        <v>119</v>
      </c>
      <c r="E26" s="4" t="s">
        <v>120</v>
      </c>
      <c r="F26" s="9">
        <v>3.8E-3</v>
      </c>
      <c r="G26" s="10">
        <v>85.607894736842098</v>
      </c>
      <c r="H26" s="15">
        <f>F26*G26</f>
        <v>0.32530999999999999</v>
      </c>
      <c r="I26" s="8"/>
    </row>
    <row r="27" spans="1:9" ht="69" x14ac:dyDescent="0.3">
      <c r="A27" s="8">
        <v>18</v>
      </c>
      <c r="B27" s="4" t="s">
        <v>100</v>
      </c>
      <c r="C27" s="4" t="s">
        <v>484</v>
      </c>
      <c r="D27" s="4" t="s">
        <v>40</v>
      </c>
      <c r="E27" s="4" t="s">
        <v>26</v>
      </c>
      <c r="F27" s="9">
        <v>0.71838999999999997</v>
      </c>
      <c r="G27" s="10">
        <v>0.7400005568006236</v>
      </c>
      <c r="H27" s="15">
        <f>F27*G27</f>
        <v>0.531609</v>
      </c>
      <c r="I27" s="8"/>
    </row>
    <row r="28" spans="1:9" ht="69" x14ac:dyDescent="0.3">
      <c r="A28" s="8">
        <v>18</v>
      </c>
      <c r="B28" s="4" t="s">
        <v>100</v>
      </c>
      <c r="C28" s="4" t="s">
        <v>484</v>
      </c>
      <c r="D28" s="4" t="s">
        <v>27</v>
      </c>
      <c r="E28" s="4" t="s">
        <v>26</v>
      </c>
      <c r="F28" s="9">
        <v>0.43149999999999999</v>
      </c>
      <c r="G28" s="10">
        <v>3.81</v>
      </c>
      <c r="H28" s="15">
        <f>F28*G28</f>
        <v>1.644015</v>
      </c>
      <c r="I28" s="8"/>
    </row>
    <row r="29" spans="1:9" ht="69" x14ac:dyDescent="0.3">
      <c r="A29" s="8">
        <v>19</v>
      </c>
      <c r="B29" s="4" t="s">
        <v>100</v>
      </c>
      <c r="C29" s="4" t="s">
        <v>483</v>
      </c>
      <c r="D29" s="4" t="s">
        <v>28</v>
      </c>
      <c r="E29" s="4" t="s">
        <v>19</v>
      </c>
      <c r="F29" s="9">
        <v>0.43149999999999999</v>
      </c>
      <c r="G29" s="10"/>
      <c r="H29" s="15"/>
      <c r="I29" s="8"/>
    </row>
    <row r="30" spans="1:9" ht="69" x14ac:dyDescent="0.3">
      <c r="A30" s="8">
        <v>19</v>
      </c>
      <c r="B30" s="4" t="s">
        <v>100</v>
      </c>
      <c r="C30" s="4" t="s">
        <v>483</v>
      </c>
      <c r="D30" s="4" t="s">
        <v>41</v>
      </c>
      <c r="E30" s="4" t="s">
        <v>19</v>
      </c>
      <c r="F30" s="9">
        <v>0.71838999999999997</v>
      </c>
      <c r="G30" s="10"/>
      <c r="H30" s="15"/>
      <c r="I30" s="8"/>
    </row>
  </sheetData>
  <conditionalFormatting sqref="B2:G30">
    <cfRule type="expression" dxfId="85" priority="1">
      <formula>$I2&gt;0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633A0-3D21-4D54-A6A0-AD2A9D747FD8}">
  <sheetPr codeName="Лист9">
    <tabColor rgb="FF00B050"/>
  </sheetPr>
  <dimension ref="A1:H19"/>
  <sheetViews>
    <sheetView topLeftCell="A52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1</v>
      </c>
      <c r="B2" s="1" t="s">
        <v>122</v>
      </c>
      <c r="C2" s="1" t="s">
        <v>485</v>
      </c>
      <c r="D2" s="2" t="s">
        <v>30</v>
      </c>
      <c r="E2" s="1" t="s">
        <v>21</v>
      </c>
      <c r="F2" s="12">
        <v>224.5</v>
      </c>
      <c r="G2" s="13"/>
      <c r="H2" s="11"/>
    </row>
    <row r="3" spans="1:8" ht="41.4" x14ac:dyDescent="0.3">
      <c r="A3">
        <v>1</v>
      </c>
      <c r="B3" s="1" t="s">
        <v>122</v>
      </c>
      <c r="C3" s="1" t="s">
        <v>485</v>
      </c>
      <c r="D3" s="2" t="s">
        <v>78</v>
      </c>
      <c r="E3" s="1" t="s">
        <v>21</v>
      </c>
      <c r="F3" s="12">
        <v>396.5</v>
      </c>
      <c r="G3" s="13"/>
      <c r="H3" s="11"/>
    </row>
    <row r="4" spans="1:8" x14ac:dyDescent="0.3">
      <c r="A4">
        <v>1</v>
      </c>
      <c r="B4" s="1" t="s">
        <v>122</v>
      </c>
      <c r="C4" s="1" t="s">
        <v>485</v>
      </c>
      <c r="D4" s="2" t="s">
        <v>79</v>
      </c>
      <c r="E4" s="1" t="s">
        <v>21</v>
      </c>
      <c r="F4" s="12">
        <v>396.5</v>
      </c>
      <c r="G4" s="13"/>
      <c r="H4" s="11"/>
    </row>
    <row r="5" spans="1:8" ht="27.6" x14ac:dyDescent="0.3">
      <c r="A5">
        <v>2</v>
      </c>
      <c r="B5" s="1" t="s">
        <v>122</v>
      </c>
      <c r="C5" s="1" t="s">
        <v>486</v>
      </c>
      <c r="D5" s="2" t="s">
        <v>68</v>
      </c>
      <c r="E5" s="1" t="s">
        <v>21</v>
      </c>
      <c r="F5" s="12">
        <v>7.06</v>
      </c>
      <c r="G5" s="13">
        <v>394.2560056657224</v>
      </c>
      <c r="H5" s="11">
        <f>F5*G5</f>
        <v>2783.4474</v>
      </c>
    </row>
    <row r="6" spans="1:8" ht="27.6" x14ac:dyDescent="0.3">
      <c r="A6">
        <v>2</v>
      </c>
      <c r="B6" s="1" t="s">
        <v>122</v>
      </c>
      <c r="C6" s="1" t="s">
        <v>486</v>
      </c>
      <c r="D6" s="2" t="s">
        <v>69</v>
      </c>
      <c r="E6" s="1" t="s">
        <v>21</v>
      </c>
      <c r="F6" s="12">
        <v>3.32</v>
      </c>
      <c r="G6" s="13">
        <v>328</v>
      </c>
      <c r="H6" s="11">
        <f>F6*G6</f>
        <v>1088.96</v>
      </c>
    </row>
    <row r="7" spans="1:8" ht="27.6" x14ac:dyDescent="0.3">
      <c r="A7">
        <v>2</v>
      </c>
      <c r="B7" s="1" t="s">
        <v>122</v>
      </c>
      <c r="C7" s="1" t="s">
        <v>486</v>
      </c>
      <c r="D7" s="2" t="s">
        <v>70</v>
      </c>
      <c r="E7" s="1" t="s">
        <v>44</v>
      </c>
      <c r="F7" s="12">
        <v>2</v>
      </c>
      <c r="G7" s="13">
        <v>135.864</v>
      </c>
      <c r="H7" s="11">
        <f>F7*G7</f>
        <v>271.72800000000001</v>
      </c>
    </row>
    <row r="8" spans="1:8" x14ac:dyDescent="0.3">
      <c r="A8">
        <v>2</v>
      </c>
      <c r="B8" s="1" t="s">
        <v>122</v>
      </c>
      <c r="C8" s="1" t="s">
        <v>486</v>
      </c>
      <c r="D8" s="2" t="s">
        <v>71</v>
      </c>
      <c r="E8" s="1" t="s">
        <v>44</v>
      </c>
      <c r="F8" s="12">
        <v>2</v>
      </c>
      <c r="G8" s="13">
        <v>178.488</v>
      </c>
      <c r="H8" s="11">
        <f>F8*G8</f>
        <v>356.976</v>
      </c>
    </row>
    <row r="9" spans="1:8" ht="27.6" x14ac:dyDescent="0.3">
      <c r="A9">
        <v>2</v>
      </c>
      <c r="B9" s="1" t="s">
        <v>122</v>
      </c>
      <c r="C9" s="1" t="s">
        <v>486</v>
      </c>
      <c r="D9" s="2" t="s">
        <v>72</v>
      </c>
      <c r="E9" s="1" t="s">
        <v>21</v>
      </c>
      <c r="F9" s="12">
        <v>0.64500000000000002</v>
      </c>
      <c r="G9" s="13">
        <v>266.39999999999998</v>
      </c>
      <c r="H9" s="11">
        <f>F9*G9</f>
        <v>171.828</v>
      </c>
    </row>
    <row r="10" spans="1:8" ht="27.6" x14ac:dyDescent="0.3">
      <c r="A10">
        <v>2</v>
      </c>
      <c r="B10" s="1" t="s">
        <v>122</v>
      </c>
      <c r="C10" s="1" t="s">
        <v>486</v>
      </c>
      <c r="D10" s="2" t="s">
        <v>73</v>
      </c>
      <c r="E10" s="1" t="s">
        <v>44</v>
      </c>
      <c r="F10" s="12">
        <v>2</v>
      </c>
      <c r="G10" s="13">
        <v>53.6</v>
      </c>
      <c r="H10" s="11">
        <f>F10*G10</f>
        <v>107.2</v>
      </c>
    </row>
    <row r="11" spans="1:8" ht="27.6" x14ac:dyDescent="0.3">
      <c r="A11">
        <v>3</v>
      </c>
      <c r="B11" s="1" t="s">
        <v>122</v>
      </c>
      <c r="C11" s="1" t="s">
        <v>487</v>
      </c>
      <c r="D11" s="2" t="s">
        <v>74</v>
      </c>
      <c r="E11" s="1" t="s">
        <v>19</v>
      </c>
      <c r="F11" s="12">
        <v>5.45E-2</v>
      </c>
      <c r="G11" s="13">
        <v>37.331009174311923</v>
      </c>
      <c r="H11" s="11">
        <f>F11*G11</f>
        <v>2.0345399999999998</v>
      </c>
    </row>
    <row r="12" spans="1:8" x14ac:dyDescent="0.3">
      <c r="A12">
        <v>3</v>
      </c>
      <c r="B12" s="1" t="s">
        <v>122</v>
      </c>
      <c r="C12" s="1" t="s">
        <v>487</v>
      </c>
      <c r="D12" s="2" t="s">
        <v>75</v>
      </c>
      <c r="E12" s="1" t="s">
        <v>19</v>
      </c>
      <c r="F12" s="12">
        <v>0.17799999999999999</v>
      </c>
      <c r="G12" s="13">
        <v>37.331000000000003</v>
      </c>
      <c r="H12" s="11">
        <f>F12*G12</f>
        <v>6.6449180000000005</v>
      </c>
    </row>
    <row r="13" spans="1:8" x14ac:dyDescent="0.3">
      <c r="A13">
        <v>4</v>
      </c>
      <c r="B13" s="1" t="s">
        <v>122</v>
      </c>
      <c r="C13" s="1" t="s">
        <v>488</v>
      </c>
      <c r="D13" s="2" t="s">
        <v>40</v>
      </c>
      <c r="E13" s="1" t="s">
        <v>26</v>
      </c>
      <c r="F13" s="12">
        <v>0.53448300000000004</v>
      </c>
      <c r="G13" s="13">
        <v>0.73999921419390324</v>
      </c>
      <c r="H13" s="11">
        <f>F13*G13</f>
        <v>0.39551700000000001</v>
      </c>
    </row>
    <row r="14" spans="1:8" x14ac:dyDescent="0.3">
      <c r="A14">
        <v>4</v>
      </c>
      <c r="B14" s="1" t="s">
        <v>122</v>
      </c>
      <c r="C14" s="1" t="s">
        <v>488</v>
      </c>
      <c r="D14" s="2" t="s">
        <v>27</v>
      </c>
      <c r="E14" s="1" t="s">
        <v>26</v>
      </c>
      <c r="F14" s="12">
        <v>117.484099</v>
      </c>
      <c r="G14" s="13">
        <v>3.8099999983827599</v>
      </c>
      <c r="H14" s="11">
        <f>F14*G14</f>
        <v>447.614417</v>
      </c>
    </row>
    <row r="15" spans="1:8" ht="27.6" x14ac:dyDescent="0.3">
      <c r="A15">
        <v>5</v>
      </c>
      <c r="B15" s="1" t="s">
        <v>122</v>
      </c>
      <c r="C15" s="1" t="s">
        <v>489</v>
      </c>
      <c r="D15" s="2" t="s">
        <v>67</v>
      </c>
      <c r="E15" s="1" t="s">
        <v>21</v>
      </c>
      <c r="F15" s="12">
        <v>224.5</v>
      </c>
      <c r="G15" s="13"/>
      <c r="H15" s="11"/>
    </row>
    <row r="16" spans="1:8" ht="41.4" x14ac:dyDescent="0.3">
      <c r="A16">
        <v>5</v>
      </c>
      <c r="B16" s="1" t="s">
        <v>122</v>
      </c>
      <c r="C16" s="1" t="s">
        <v>489</v>
      </c>
      <c r="D16" s="2" t="s">
        <v>123</v>
      </c>
      <c r="E16" s="1" t="s">
        <v>21</v>
      </c>
      <c r="F16" s="12">
        <v>224.5</v>
      </c>
      <c r="G16" s="13"/>
      <c r="H16" s="11"/>
    </row>
    <row r="17" spans="1:8" x14ac:dyDescent="0.3">
      <c r="A17">
        <v>6</v>
      </c>
      <c r="B17" s="1" t="s">
        <v>122</v>
      </c>
      <c r="C17" s="1" t="s">
        <v>490</v>
      </c>
      <c r="D17" s="2" t="s">
        <v>99</v>
      </c>
      <c r="E17" s="1" t="s">
        <v>19</v>
      </c>
      <c r="F17" s="12">
        <v>753.35</v>
      </c>
      <c r="G17" s="13"/>
      <c r="H17" s="11"/>
    </row>
    <row r="18" spans="1:8" x14ac:dyDescent="0.3">
      <c r="A18">
        <v>6</v>
      </c>
      <c r="B18" s="1" t="s">
        <v>122</v>
      </c>
      <c r="C18" s="1" t="s">
        <v>490</v>
      </c>
      <c r="D18" s="2" t="s">
        <v>28</v>
      </c>
      <c r="E18" s="1" t="s">
        <v>19</v>
      </c>
      <c r="F18" s="12">
        <v>117.484099</v>
      </c>
      <c r="G18" s="13"/>
      <c r="H18" s="11"/>
    </row>
    <row r="19" spans="1:8" ht="27.6" x14ac:dyDescent="0.3">
      <c r="A19">
        <v>6</v>
      </c>
      <c r="B19" s="1" t="s">
        <v>122</v>
      </c>
      <c r="C19" s="1" t="s">
        <v>490</v>
      </c>
      <c r="D19" s="2" t="s">
        <v>41</v>
      </c>
      <c r="E19" s="1" t="s">
        <v>19</v>
      </c>
      <c r="F19" s="12">
        <v>0.53448300000000004</v>
      </c>
      <c r="G19" s="13"/>
      <c r="H19" s="11"/>
    </row>
  </sheetData>
  <autoFilter ref="A1:G19" xr:uid="{F5C633A0-3D21-4D54-A6A0-AD2A9D747FD8}"/>
  <conditionalFormatting sqref="B2:G19">
    <cfRule type="expression" dxfId="84" priority="1">
      <formula>$I2&gt;0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338F4-53EB-4D31-8904-4CEA12CC6DDC}">
  <sheetPr codeName="Лист10">
    <tabColor rgb="FF00B050"/>
  </sheetPr>
  <dimension ref="A1:H14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x14ac:dyDescent="0.3">
      <c r="A2">
        <v>1</v>
      </c>
      <c r="B2" s="1" t="s">
        <v>124</v>
      </c>
      <c r="C2" s="1" t="s">
        <v>491</v>
      </c>
      <c r="D2" s="2" t="s">
        <v>125</v>
      </c>
      <c r="E2" s="1" t="s">
        <v>21</v>
      </c>
      <c r="F2" s="12">
        <v>51.4</v>
      </c>
      <c r="G2" s="13">
        <v>9.59</v>
      </c>
      <c r="H2" s="11">
        <f>F2*G2</f>
        <v>492.92599999999999</v>
      </c>
    </row>
    <row r="3" spans="1:8" x14ac:dyDescent="0.3">
      <c r="A3">
        <v>1</v>
      </c>
      <c r="B3" s="1" t="s">
        <v>124</v>
      </c>
      <c r="C3" s="1" t="s">
        <v>491</v>
      </c>
      <c r="D3" s="2" t="s">
        <v>126</v>
      </c>
      <c r="E3" s="1" t="s">
        <v>21</v>
      </c>
      <c r="F3" s="12">
        <v>5.75</v>
      </c>
      <c r="G3" s="13">
        <v>9.59</v>
      </c>
      <c r="H3" s="11">
        <f>F3*G3</f>
        <v>55.142499999999998</v>
      </c>
    </row>
    <row r="4" spans="1:8" x14ac:dyDescent="0.3">
      <c r="A4">
        <v>1</v>
      </c>
      <c r="B4" s="1" t="s">
        <v>124</v>
      </c>
      <c r="C4" s="1" t="s">
        <v>491</v>
      </c>
      <c r="D4" s="2" t="s">
        <v>127</v>
      </c>
      <c r="E4" s="1" t="s">
        <v>21</v>
      </c>
      <c r="F4" s="12">
        <v>3.4</v>
      </c>
      <c r="G4" s="13">
        <v>15.450000000000001</v>
      </c>
      <c r="H4" s="11">
        <f>F4*G4</f>
        <v>52.53</v>
      </c>
    </row>
    <row r="5" spans="1:8" x14ac:dyDescent="0.3">
      <c r="A5">
        <v>1</v>
      </c>
      <c r="B5" s="1" t="s">
        <v>124</v>
      </c>
      <c r="C5" s="1" t="s">
        <v>491</v>
      </c>
      <c r="D5" s="2" t="s">
        <v>128</v>
      </c>
      <c r="E5" s="1" t="s">
        <v>21</v>
      </c>
      <c r="F5" s="12">
        <v>1.44</v>
      </c>
      <c r="G5" s="13">
        <v>15.450000000000001</v>
      </c>
      <c r="H5" s="11">
        <f>F5*G5</f>
        <v>22.248000000000001</v>
      </c>
    </row>
    <row r="6" spans="1:8" x14ac:dyDescent="0.3">
      <c r="A6">
        <v>1</v>
      </c>
      <c r="B6" s="1" t="s">
        <v>124</v>
      </c>
      <c r="C6" s="1" t="s">
        <v>491</v>
      </c>
      <c r="D6" s="2" t="s">
        <v>22</v>
      </c>
      <c r="E6" s="1" t="s">
        <v>753</v>
      </c>
      <c r="F6" s="12">
        <v>7.1499999999999995</v>
      </c>
      <c r="G6" s="13">
        <v>76.7</v>
      </c>
      <c r="H6" s="11">
        <f>F6*G6</f>
        <v>548.40499999999997</v>
      </c>
    </row>
    <row r="7" spans="1:8" x14ac:dyDescent="0.3">
      <c r="A7">
        <v>1</v>
      </c>
      <c r="B7" s="1" t="s">
        <v>124</v>
      </c>
      <c r="C7" s="1" t="s">
        <v>491</v>
      </c>
      <c r="D7" s="2" t="s">
        <v>23</v>
      </c>
      <c r="E7" s="1" t="s">
        <v>106</v>
      </c>
      <c r="F7" s="12">
        <v>26</v>
      </c>
      <c r="G7" s="13">
        <v>28.54</v>
      </c>
      <c r="H7" s="11">
        <f>F7*G7</f>
        <v>742.04</v>
      </c>
    </row>
    <row r="8" spans="1:8" ht="27.6" x14ac:dyDescent="0.3">
      <c r="A8">
        <v>2</v>
      </c>
      <c r="B8" s="1" t="s">
        <v>124</v>
      </c>
      <c r="C8" s="1" t="s">
        <v>492</v>
      </c>
      <c r="D8" s="2" t="s">
        <v>129</v>
      </c>
      <c r="E8" s="1" t="s">
        <v>21</v>
      </c>
      <c r="F8" s="12">
        <v>38</v>
      </c>
      <c r="G8" s="13"/>
      <c r="H8" s="11"/>
    </row>
    <row r="9" spans="1:8" ht="27.6" x14ac:dyDescent="0.3">
      <c r="A9">
        <v>2</v>
      </c>
      <c r="B9" s="1" t="s">
        <v>124</v>
      </c>
      <c r="C9" s="1" t="s">
        <v>492</v>
      </c>
      <c r="D9" s="2" t="s">
        <v>130</v>
      </c>
      <c r="E9" s="1" t="s">
        <v>21</v>
      </c>
      <c r="F9" s="12">
        <v>38</v>
      </c>
      <c r="G9" s="13"/>
      <c r="H9" s="11"/>
    </row>
    <row r="10" spans="1:8" x14ac:dyDescent="0.3">
      <c r="A10">
        <v>3</v>
      </c>
      <c r="B10" s="1" t="s">
        <v>124</v>
      </c>
      <c r="C10" s="1" t="s">
        <v>493</v>
      </c>
      <c r="D10" s="2" t="s">
        <v>27</v>
      </c>
      <c r="E10" s="1" t="s">
        <v>26</v>
      </c>
      <c r="F10" s="12">
        <v>68.400000000000006</v>
      </c>
      <c r="G10" s="13">
        <v>3.8099999999999996</v>
      </c>
      <c r="H10" s="11">
        <f>F10*G10</f>
        <v>260.60399999999998</v>
      </c>
    </row>
    <row r="11" spans="1:8" x14ac:dyDescent="0.3">
      <c r="A11">
        <v>4</v>
      </c>
      <c r="B11" s="1" t="s">
        <v>124</v>
      </c>
      <c r="C11" s="1" t="s">
        <v>494</v>
      </c>
      <c r="D11" s="2" t="s">
        <v>28</v>
      </c>
      <c r="E11" s="1" t="s">
        <v>19</v>
      </c>
      <c r="F11" s="12">
        <v>68.400000000000006</v>
      </c>
      <c r="G11" s="13"/>
      <c r="H11" s="11"/>
    </row>
    <row r="12" spans="1:8" ht="27.6" x14ac:dyDescent="0.3">
      <c r="A12">
        <v>5</v>
      </c>
      <c r="B12" s="1" t="s">
        <v>124</v>
      </c>
      <c r="C12" s="1" t="s">
        <v>495</v>
      </c>
      <c r="D12" s="2" t="s">
        <v>131</v>
      </c>
      <c r="E12" s="1" t="s">
        <v>21</v>
      </c>
      <c r="F12" s="12">
        <v>199</v>
      </c>
      <c r="G12" s="13"/>
      <c r="H12" s="11"/>
    </row>
    <row r="13" spans="1:8" ht="27.6" x14ac:dyDescent="0.3">
      <c r="A13">
        <v>5</v>
      </c>
      <c r="B13" s="1" t="s">
        <v>124</v>
      </c>
      <c r="C13" s="1" t="s">
        <v>495</v>
      </c>
      <c r="D13" s="2" t="s">
        <v>31</v>
      </c>
      <c r="E13" s="1" t="s">
        <v>21</v>
      </c>
      <c r="F13" s="12">
        <v>11</v>
      </c>
      <c r="G13" s="13">
        <v>615.00000000000011</v>
      </c>
      <c r="H13" s="11">
        <f>F13*G13</f>
        <v>6765.0000000000009</v>
      </c>
    </row>
    <row r="14" spans="1:8" ht="27.6" x14ac:dyDescent="0.3">
      <c r="A14">
        <v>6</v>
      </c>
      <c r="B14" s="1" t="s">
        <v>124</v>
      </c>
      <c r="C14" s="1" t="s">
        <v>496</v>
      </c>
      <c r="D14" s="2" t="s">
        <v>38</v>
      </c>
      <c r="E14" s="1" t="s">
        <v>21</v>
      </c>
      <c r="F14" s="12">
        <v>210</v>
      </c>
      <c r="G14" s="13"/>
      <c r="H14" s="11"/>
    </row>
  </sheetData>
  <autoFilter ref="A1:G14" xr:uid="{A12338F4-53EB-4D31-8904-4CEA12CC6DDC}"/>
  <conditionalFormatting sqref="B2:G14">
    <cfRule type="expression" dxfId="83" priority="1">
      <formula>$I2&gt;0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47D2B-8AD1-4EA5-8F13-7745A11B1D45}">
  <sheetPr codeName="Лист11"/>
  <dimension ref="A1:H14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x14ac:dyDescent="0.3">
      <c r="A2">
        <v>1</v>
      </c>
      <c r="B2" s="1" t="s">
        <v>132</v>
      </c>
      <c r="C2" s="1" t="s">
        <v>497</v>
      </c>
      <c r="D2" s="2" t="s">
        <v>133</v>
      </c>
      <c r="E2" s="1" t="s">
        <v>44</v>
      </c>
      <c r="F2" s="12">
        <v>1</v>
      </c>
      <c r="G2" s="13">
        <v>47.1</v>
      </c>
      <c r="H2" s="11">
        <f>F2*G2</f>
        <v>47.1</v>
      </c>
    </row>
    <row r="3" spans="1:8" x14ac:dyDescent="0.3">
      <c r="A3">
        <v>1</v>
      </c>
      <c r="B3" s="1" t="s">
        <v>132</v>
      </c>
      <c r="C3" s="1" t="s">
        <v>497</v>
      </c>
      <c r="D3" s="2" t="s">
        <v>134</v>
      </c>
      <c r="E3" s="1" t="s">
        <v>44</v>
      </c>
      <c r="F3" s="12">
        <v>3</v>
      </c>
      <c r="G3" s="13">
        <v>1.107</v>
      </c>
      <c r="H3" s="11">
        <f>F3*G3</f>
        <v>3.3209999999999997</v>
      </c>
    </row>
    <row r="4" spans="1:8" ht="55.2" x14ac:dyDescent="0.3">
      <c r="A4">
        <v>1</v>
      </c>
      <c r="B4" s="1" t="s">
        <v>132</v>
      </c>
      <c r="C4" s="1" t="s">
        <v>497</v>
      </c>
      <c r="D4" s="2" t="s">
        <v>15</v>
      </c>
      <c r="E4" s="1" t="s">
        <v>753</v>
      </c>
      <c r="F4" s="12">
        <v>21</v>
      </c>
      <c r="G4" s="13">
        <v>20.94</v>
      </c>
      <c r="H4" s="11">
        <f>F4*G4</f>
        <v>439.74</v>
      </c>
    </row>
    <row r="5" spans="1:8" ht="55.2" x14ac:dyDescent="0.3">
      <c r="A5">
        <v>1</v>
      </c>
      <c r="B5" s="1" t="s">
        <v>132</v>
      </c>
      <c r="C5" s="1" t="s">
        <v>497</v>
      </c>
      <c r="D5" s="2" t="s">
        <v>15</v>
      </c>
      <c r="E5" s="1" t="s">
        <v>753</v>
      </c>
      <c r="F5" s="12">
        <v>55.900000000000006</v>
      </c>
      <c r="G5" s="13">
        <v>50.699999999999996</v>
      </c>
      <c r="H5" s="11">
        <f>F5*G5</f>
        <v>2834.13</v>
      </c>
    </row>
    <row r="6" spans="1:8" ht="41.4" x14ac:dyDescent="0.3">
      <c r="A6">
        <v>1</v>
      </c>
      <c r="B6" s="1" t="s">
        <v>132</v>
      </c>
      <c r="C6" s="1" t="s">
        <v>497</v>
      </c>
      <c r="D6" s="2" t="s">
        <v>135</v>
      </c>
      <c r="E6" s="1" t="s">
        <v>753</v>
      </c>
      <c r="F6" s="12">
        <v>200.99999999999997</v>
      </c>
      <c r="G6" s="13">
        <v>1.5990000000000002</v>
      </c>
      <c r="H6" s="11">
        <f>F6*G6</f>
        <v>321.399</v>
      </c>
    </row>
    <row r="7" spans="1:8" ht="27.6" x14ac:dyDescent="0.3">
      <c r="A7">
        <v>2</v>
      </c>
      <c r="B7" s="1" t="s">
        <v>132</v>
      </c>
      <c r="C7" s="1" t="s">
        <v>498</v>
      </c>
      <c r="D7" s="2" t="s">
        <v>136</v>
      </c>
      <c r="E7" s="1" t="s">
        <v>26</v>
      </c>
      <c r="F7" s="12">
        <v>3.73</v>
      </c>
      <c r="G7" s="13">
        <v>0.7400000000000001</v>
      </c>
      <c r="H7" s="11">
        <f>F7*G7</f>
        <v>2.7602000000000002</v>
      </c>
    </row>
    <row r="8" spans="1:8" ht="27.6" x14ac:dyDescent="0.3">
      <c r="A8">
        <v>2</v>
      </c>
      <c r="B8" s="1" t="s">
        <v>132</v>
      </c>
      <c r="C8" s="1" t="s">
        <v>498</v>
      </c>
      <c r="D8" s="2" t="s">
        <v>53</v>
      </c>
      <c r="E8" s="1" t="s">
        <v>26</v>
      </c>
      <c r="F8" s="12">
        <v>9.6000000000000002E-2</v>
      </c>
      <c r="G8" s="13">
        <v>0.74</v>
      </c>
      <c r="H8" s="11">
        <f>F8*G8</f>
        <v>7.1040000000000006E-2</v>
      </c>
    </row>
    <row r="9" spans="1:8" ht="27.6" x14ac:dyDescent="0.3">
      <c r="A9">
        <v>2</v>
      </c>
      <c r="B9" s="1" t="s">
        <v>132</v>
      </c>
      <c r="C9" s="1" t="s">
        <v>498</v>
      </c>
      <c r="D9" s="2" t="s">
        <v>137</v>
      </c>
      <c r="E9" s="1" t="s">
        <v>26</v>
      </c>
      <c r="F9" s="12">
        <v>3.71469</v>
      </c>
      <c r="G9" s="13">
        <v>0.74000010768058699</v>
      </c>
      <c r="H9" s="11">
        <f>F9*G9</f>
        <v>2.7488709999999998</v>
      </c>
    </row>
    <row r="10" spans="1:8" ht="27.6" x14ac:dyDescent="0.3">
      <c r="A10">
        <v>2</v>
      </c>
      <c r="B10" s="1" t="s">
        <v>132</v>
      </c>
      <c r="C10" s="1" t="s">
        <v>498</v>
      </c>
      <c r="D10" s="2" t="s">
        <v>55</v>
      </c>
      <c r="E10" s="1" t="s">
        <v>26</v>
      </c>
      <c r="F10" s="12">
        <v>1.0548999999999999</v>
      </c>
      <c r="G10" s="13">
        <v>0.7400000000000001</v>
      </c>
      <c r="H10" s="11">
        <f>F10*G10</f>
        <v>0.78062600000000004</v>
      </c>
    </row>
    <row r="11" spans="1:8" ht="27.6" x14ac:dyDescent="0.3">
      <c r="A11">
        <v>3</v>
      </c>
      <c r="B11" s="1" t="s">
        <v>132</v>
      </c>
      <c r="C11" s="1" t="s">
        <v>499</v>
      </c>
      <c r="D11" s="2" t="s">
        <v>138</v>
      </c>
      <c r="E11" s="1" t="s">
        <v>19</v>
      </c>
      <c r="F11" s="12">
        <v>3.73</v>
      </c>
      <c r="G11" s="13"/>
      <c r="H11" s="11"/>
    </row>
    <row r="12" spans="1:8" ht="27.6" x14ac:dyDescent="0.3">
      <c r="A12">
        <v>3</v>
      </c>
      <c r="B12" s="1" t="s">
        <v>132</v>
      </c>
      <c r="C12" s="1" t="s">
        <v>499</v>
      </c>
      <c r="D12" s="2" t="s">
        <v>139</v>
      </c>
      <c r="E12" s="1" t="s">
        <v>19</v>
      </c>
      <c r="F12" s="12">
        <v>9.6000000000000002E-2</v>
      </c>
      <c r="G12" s="13"/>
      <c r="H12" s="11"/>
    </row>
    <row r="13" spans="1:8" ht="27.6" x14ac:dyDescent="0.3">
      <c r="A13">
        <v>3</v>
      </c>
      <c r="B13" s="1" t="s">
        <v>132</v>
      </c>
      <c r="C13" s="1" t="s">
        <v>499</v>
      </c>
      <c r="D13" s="2" t="s">
        <v>140</v>
      </c>
      <c r="E13" s="1" t="s">
        <v>19</v>
      </c>
      <c r="F13" s="12">
        <v>3.71469</v>
      </c>
      <c r="G13" s="13"/>
      <c r="H13" s="11"/>
    </row>
    <row r="14" spans="1:8" ht="27.6" x14ac:dyDescent="0.3">
      <c r="A14">
        <v>3</v>
      </c>
      <c r="B14" s="1" t="s">
        <v>132</v>
      </c>
      <c r="C14" s="1" t="s">
        <v>499</v>
      </c>
      <c r="D14" s="2" t="s">
        <v>141</v>
      </c>
      <c r="E14" s="1" t="s">
        <v>19</v>
      </c>
      <c r="F14" s="12">
        <v>1.0548999999999999</v>
      </c>
      <c r="G14" s="13"/>
      <c r="H14" s="11"/>
    </row>
  </sheetData>
  <autoFilter ref="A1:G14" xr:uid="{41F47D2B-8AD1-4EA5-8F13-7745A11B1D45}"/>
  <conditionalFormatting sqref="B2:G14">
    <cfRule type="expression" dxfId="82" priority="1">
      <formula>$I2&gt;0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3D32FE-2559-416D-8B3C-12233794735E}">
  <sheetPr codeName="Лист12">
    <tabColor rgb="FF00B050"/>
  </sheetPr>
  <dimension ref="A1:H16"/>
  <sheetViews>
    <sheetView topLeftCell="A31" workbookViewId="0">
      <selection sqref="A1:G1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x14ac:dyDescent="0.3">
      <c r="A2">
        <v>1</v>
      </c>
      <c r="B2" s="1" t="s">
        <v>142</v>
      </c>
      <c r="C2" s="1" t="s">
        <v>500</v>
      </c>
      <c r="D2" s="2" t="s">
        <v>125</v>
      </c>
      <c r="E2" s="1" t="s">
        <v>21</v>
      </c>
      <c r="F2" s="12">
        <v>5.14</v>
      </c>
      <c r="G2" s="13">
        <v>9.59</v>
      </c>
      <c r="H2" s="11">
        <f>F2*G2</f>
        <v>49.292599999999993</v>
      </c>
    </row>
    <row r="3" spans="1:8" x14ac:dyDescent="0.3">
      <c r="A3">
        <v>1</v>
      </c>
      <c r="B3" s="1" t="s">
        <v>142</v>
      </c>
      <c r="C3" s="1" t="s">
        <v>500</v>
      </c>
      <c r="D3" s="2" t="s">
        <v>143</v>
      </c>
      <c r="E3" s="1" t="s">
        <v>21</v>
      </c>
      <c r="F3" s="12">
        <v>0.57499999999999996</v>
      </c>
      <c r="G3" s="13">
        <v>9.59</v>
      </c>
      <c r="H3" s="11">
        <f>F3*G3</f>
        <v>5.5142499999999997</v>
      </c>
    </row>
    <row r="4" spans="1:8" x14ac:dyDescent="0.3">
      <c r="A4">
        <v>1</v>
      </c>
      <c r="B4" s="1" t="s">
        <v>142</v>
      </c>
      <c r="C4" s="1" t="s">
        <v>500</v>
      </c>
      <c r="D4" s="2" t="s">
        <v>127</v>
      </c>
      <c r="E4" s="1" t="s">
        <v>21</v>
      </c>
      <c r="F4" s="12">
        <v>0.34</v>
      </c>
      <c r="G4" s="13">
        <v>15.45</v>
      </c>
      <c r="H4" s="11">
        <f>F4*G4</f>
        <v>5.2530000000000001</v>
      </c>
    </row>
    <row r="5" spans="1:8" x14ac:dyDescent="0.3">
      <c r="A5">
        <v>1</v>
      </c>
      <c r="B5" s="1" t="s">
        <v>142</v>
      </c>
      <c r="C5" s="1" t="s">
        <v>500</v>
      </c>
      <c r="D5" s="2" t="s">
        <v>128</v>
      </c>
      <c r="E5" s="1" t="s">
        <v>21</v>
      </c>
      <c r="F5" s="12">
        <v>0.14399999999999999</v>
      </c>
      <c r="G5" s="13">
        <v>15.450000000000001</v>
      </c>
      <c r="H5" s="11">
        <f>F5*G5</f>
        <v>2.2248000000000001</v>
      </c>
    </row>
    <row r="6" spans="1:8" x14ac:dyDescent="0.3">
      <c r="A6">
        <v>1</v>
      </c>
      <c r="B6" s="1" t="s">
        <v>142</v>
      </c>
      <c r="C6" s="1" t="s">
        <v>500</v>
      </c>
      <c r="D6" s="2" t="s">
        <v>22</v>
      </c>
      <c r="E6" s="1" t="s">
        <v>753</v>
      </c>
      <c r="F6" s="12">
        <v>0.71499999999999997</v>
      </c>
      <c r="G6" s="13">
        <v>76.700000000000017</v>
      </c>
      <c r="H6" s="11">
        <f>F6*G6</f>
        <v>54.840500000000013</v>
      </c>
    </row>
    <row r="7" spans="1:8" x14ac:dyDescent="0.3">
      <c r="A7">
        <v>1</v>
      </c>
      <c r="B7" s="1" t="s">
        <v>142</v>
      </c>
      <c r="C7" s="1" t="s">
        <v>500</v>
      </c>
      <c r="D7" s="2" t="s">
        <v>23</v>
      </c>
      <c r="E7" s="1" t="s">
        <v>106</v>
      </c>
      <c r="F7" s="12">
        <v>2.6</v>
      </c>
      <c r="G7" s="13">
        <v>28.540000000000003</v>
      </c>
      <c r="H7" s="11">
        <f>F7*G7</f>
        <v>74.204000000000008</v>
      </c>
    </row>
    <row r="8" spans="1:8" ht="27.6" x14ac:dyDescent="0.3">
      <c r="A8">
        <v>2</v>
      </c>
      <c r="B8" s="1" t="s">
        <v>142</v>
      </c>
      <c r="C8" s="1" t="s">
        <v>501</v>
      </c>
      <c r="D8" s="2" t="s">
        <v>129</v>
      </c>
      <c r="E8" s="1" t="s">
        <v>21</v>
      </c>
      <c r="F8" s="12">
        <v>3.8</v>
      </c>
      <c r="G8" s="13"/>
      <c r="H8" s="11"/>
    </row>
    <row r="9" spans="1:8" ht="27.6" x14ac:dyDescent="0.3">
      <c r="A9">
        <v>2</v>
      </c>
      <c r="B9" s="1" t="s">
        <v>142</v>
      </c>
      <c r="C9" s="1" t="s">
        <v>501</v>
      </c>
      <c r="D9" s="2" t="s">
        <v>130</v>
      </c>
      <c r="E9" s="1" t="s">
        <v>21</v>
      </c>
      <c r="F9" s="12">
        <v>3.8</v>
      </c>
      <c r="G9" s="13"/>
      <c r="H9" s="11"/>
    </row>
    <row r="10" spans="1:8" x14ac:dyDescent="0.3">
      <c r="A10">
        <v>3</v>
      </c>
      <c r="B10" s="1" t="s">
        <v>142</v>
      </c>
      <c r="C10" s="1" t="s">
        <v>502</v>
      </c>
      <c r="D10" s="2" t="s">
        <v>27</v>
      </c>
      <c r="E10" s="1" t="s">
        <v>26</v>
      </c>
      <c r="F10" s="12">
        <v>6.84</v>
      </c>
      <c r="G10" s="13">
        <v>3.8100000000000005</v>
      </c>
      <c r="H10" s="11">
        <f>F10*G10</f>
        <v>26.060400000000001</v>
      </c>
    </row>
    <row r="11" spans="1:8" x14ac:dyDescent="0.3">
      <c r="A11">
        <v>4</v>
      </c>
      <c r="B11" s="1" t="s">
        <v>142</v>
      </c>
      <c r="C11" s="1" t="s">
        <v>503</v>
      </c>
      <c r="D11" s="2" t="s">
        <v>28</v>
      </c>
      <c r="E11" s="1" t="s">
        <v>19</v>
      </c>
      <c r="F11" s="12">
        <v>6.84</v>
      </c>
      <c r="G11" s="13"/>
      <c r="H11" s="11"/>
    </row>
    <row r="12" spans="1:8" ht="27.6" x14ac:dyDescent="0.3">
      <c r="A12">
        <v>5</v>
      </c>
      <c r="B12" s="1" t="s">
        <v>142</v>
      </c>
      <c r="C12" s="1" t="s">
        <v>504</v>
      </c>
      <c r="D12" s="2" t="s">
        <v>144</v>
      </c>
      <c r="E12" s="1" t="s">
        <v>21</v>
      </c>
      <c r="F12" s="12">
        <v>7.0000000000000009</v>
      </c>
      <c r="G12" s="13">
        <v>614.99999999999989</v>
      </c>
      <c r="H12" s="11">
        <f>F12*G12</f>
        <v>4305</v>
      </c>
    </row>
    <row r="13" spans="1:8" x14ac:dyDescent="0.3">
      <c r="A13">
        <v>6</v>
      </c>
      <c r="B13" s="1" t="s">
        <v>142</v>
      </c>
      <c r="C13" s="1" t="s">
        <v>505</v>
      </c>
      <c r="D13" s="2" t="s">
        <v>93</v>
      </c>
      <c r="E13" s="1" t="s">
        <v>21</v>
      </c>
      <c r="F13" s="12">
        <v>7.0000000000000009</v>
      </c>
      <c r="G13" s="13">
        <v>221.99999999999997</v>
      </c>
      <c r="H13" s="11">
        <f>F13*G13</f>
        <v>1554</v>
      </c>
    </row>
    <row r="14" spans="1:8" ht="27.6" x14ac:dyDescent="0.3">
      <c r="A14">
        <v>7</v>
      </c>
      <c r="B14" s="1" t="s">
        <v>142</v>
      </c>
      <c r="C14" s="1" t="s">
        <v>506</v>
      </c>
      <c r="D14" s="2" t="s">
        <v>30</v>
      </c>
      <c r="E14" s="1" t="s">
        <v>21</v>
      </c>
      <c r="F14" s="12">
        <v>106</v>
      </c>
      <c r="G14" s="13"/>
      <c r="H14" s="11"/>
    </row>
    <row r="15" spans="1:8" ht="27.6" x14ac:dyDescent="0.3">
      <c r="A15">
        <v>7</v>
      </c>
      <c r="B15" s="1" t="s">
        <v>142</v>
      </c>
      <c r="C15" s="1" t="s">
        <v>506</v>
      </c>
      <c r="D15" s="2" t="s">
        <v>144</v>
      </c>
      <c r="E15" s="1" t="s">
        <v>21</v>
      </c>
      <c r="F15" s="12">
        <v>5</v>
      </c>
      <c r="G15" s="13">
        <v>615</v>
      </c>
      <c r="H15" s="11">
        <f>F15*G15</f>
        <v>3075</v>
      </c>
    </row>
    <row r="16" spans="1:8" ht="27.6" x14ac:dyDescent="0.3">
      <c r="A16">
        <v>8</v>
      </c>
      <c r="B16" s="1" t="s">
        <v>142</v>
      </c>
      <c r="C16" s="1" t="s">
        <v>507</v>
      </c>
      <c r="D16" s="2" t="s">
        <v>38</v>
      </c>
      <c r="E16" s="1" t="s">
        <v>21</v>
      </c>
      <c r="F16" s="12">
        <v>111</v>
      </c>
      <c r="G16" s="13"/>
      <c r="H16" s="11"/>
    </row>
  </sheetData>
  <autoFilter ref="A1:G16" xr:uid="{B03D32FE-2559-416D-8B3C-12233794735E}"/>
  <conditionalFormatting sqref="B2:G16">
    <cfRule type="expression" dxfId="81" priority="1">
      <formula>$I2&gt;0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5B463-3D4E-4EC3-8F63-31EA8F592329}">
  <sheetPr codeName="Лист13"/>
  <dimension ref="A1:H27"/>
  <sheetViews>
    <sheetView topLeftCell="A52" workbookViewId="0">
      <selection activeCell="A60" sqref="A60:G101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x14ac:dyDescent="0.3">
      <c r="A2">
        <v>1</v>
      </c>
      <c r="B2" s="1" t="s">
        <v>145</v>
      </c>
      <c r="C2" s="1" t="s">
        <v>511</v>
      </c>
      <c r="D2" s="2" t="s">
        <v>153</v>
      </c>
      <c r="E2" s="1" t="s">
        <v>44</v>
      </c>
      <c r="F2" s="12">
        <v>2</v>
      </c>
      <c r="G2" s="13">
        <v>36.6</v>
      </c>
      <c r="H2" s="11">
        <f>F2*G2</f>
        <v>73.2</v>
      </c>
    </row>
    <row r="3" spans="1:8" x14ac:dyDescent="0.3">
      <c r="A3">
        <v>1</v>
      </c>
      <c r="B3" s="1" t="s">
        <v>145</v>
      </c>
      <c r="C3" s="1" t="s">
        <v>511</v>
      </c>
      <c r="D3" s="2" t="s">
        <v>154</v>
      </c>
      <c r="E3" s="1" t="s">
        <v>44</v>
      </c>
      <c r="F3" s="12">
        <v>2</v>
      </c>
      <c r="G3" s="13">
        <v>3.33</v>
      </c>
      <c r="H3" s="11">
        <f>F3*G3</f>
        <v>6.66</v>
      </c>
    </row>
    <row r="4" spans="1:8" ht="27.6" x14ac:dyDescent="0.3">
      <c r="A4">
        <v>1</v>
      </c>
      <c r="B4" s="1" t="s">
        <v>145</v>
      </c>
      <c r="C4" s="1" t="s">
        <v>511</v>
      </c>
      <c r="D4" s="2" t="s">
        <v>155</v>
      </c>
      <c r="E4" s="1" t="s">
        <v>44</v>
      </c>
      <c r="F4" s="12">
        <v>4</v>
      </c>
      <c r="G4" s="13">
        <v>1.2629999999999999</v>
      </c>
      <c r="H4" s="11">
        <f>F4*G4</f>
        <v>5.0519999999999996</v>
      </c>
    </row>
    <row r="5" spans="1:8" ht="27.6" x14ac:dyDescent="0.3">
      <c r="A5">
        <v>1</v>
      </c>
      <c r="B5" s="1" t="s">
        <v>145</v>
      </c>
      <c r="C5" s="1" t="s">
        <v>511</v>
      </c>
      <c r="D5" s="2" t="s">
        <v>156</v>
      </c>
      <c r="E5" s="1" t="s">
        <v>44</v>
      </c>
      <c r="F5" s="12">
        <v>4</v>
      </c>
      <c r="G5" s="13">
        <v>0.54</v>
      </c>
      <c r="H5" s="11">
        <f>F5*G5</f>
        <v>2.16</v>
      </c>
    </row>
    <row r="6" spans="1:8" ht="41.4" x14ac:dyDescent="0.3">
      <c r="A6">
        <v>1</v>
      </c>
      <c r="B6" s="1" t="s">
        <v>145</v>
      </c>
      <c r="C6" s="1" t="s">
        <v>511</v>
      </c>
      <c r="D6" s="2" t="s">
        <v>157</v>
      </c>
      <c r="E6" s="1" t="s">
        <v>753</v>
      </c>
      <c r="F6" s="12">
        <v>12</v>
      </c>
      <c r="G6" s="13">
        <v>48.599999999999994</v>
      </c>
      <c r="H6" s="11">
        <f>F6*G6</f>
        <v>583.19999999999993</v>
      </c>
    </row>
    <row r="7" spans="1:8" ht="41.4" x14ac:dyDescent="0.3">
      <c r="A7">
        <v>1</v>
      </c>
      <c r="B7" s="1" t="s">
        <v>145</v>
      </c>
      <c r="C7" s="1" t="s">
        <v>511</v>
      </c>
      <c r="D7" s="2" t="s">
        <v>158</v>
      </c>
      <c r="E7" s="1" t="s">
        <v>753</v>
      </c>
      <c r="F7" s="12">
        <v>9</v>
      </c>
      <c r="G7" s="13">
        <v>62.699999999999996</v>
      </c>
      <c r="H7" s="11">
        <f>F7*G7</f>
        <v>564.29999999999995</v>
      </c>
    </row>
    <row r="8" spans="1:8" ht="41.4" x14ac:dyDescent="0.3">
      <c r="A8">
        <v>1</v>
      </c>
      <c r="B8" s="1" t="s">
        <v>145</v>
      </c>
      <c r="C8" s="1" t="s">
        <v>511</v>
      </c>
      <c r="D8" s="2" t="s">
        <v>159</v>
      </c>
      <c r="E8" s="1" t="s">
        <v>753</v>
      </c>
      <c r="F8" s="12">
        <v>9</v>
      </c>
      <c r="G8" s="13">
        <v>1.5990000000000002</v>
      </c>
      <c r="H8" s="11">
        <f>F8*G8</f>
        <v>14.391000000000002</v>
      </c>
    </row>
    <row r="9" spans="1:8" ht="27.6" x14ac:dyDescent="0.3">
      <c r="A9">
        <v>2</v>
      </c>
      <c r="B9" s="1" t="s">
        <v>145</v>
      </c>
      <c r="C9" s="1" t="s">
        <v>512</v>
      </c>
      <c r="D9" s="2" t="s">
        <v>52</v>
      </c>
      <c r="E9" s="1" t="s">
        <v>26</v>
      </c>
      <c r="F9" s="12">
        <v>11.8</v>
      </c>
      <c r="G9" s="13">
        <v>0.73999999999999988</v>
      </c>
      <c r="H9" s="11">
        <f>F9*G9</f>
        <v>8.7319999999999993</v>
      </c>
    </row>
    <row r="10" spans="1:8" ht="27.6" x14ac:dyDescent="0.3">
      <c r="A10">
        <v>2</v>
      </c>
      <c r="B10" s="1" t="s">
        <v>145</v>
      </c>
      <c r="C10" s="1" t="s">
        <v>512</v>
      </c>
      <c r="D10" s="2" t="s">
        <v>53</v>
      </c>
      <c r="E10" s="1" t="s">
        <v>26</v>
      </c>
      <c r="F10" s="12">
        <v>0.78400000000000003</v>
      </c>
      <c r="G10" s="13">
        <v>0.74</v>
      </c>
      <c r="H10" s="11">
        <f>F10*G10</f>
        <v>0.58016000000000001</v>
      </c>
    </row>
    <row r="11" spans="1:8" ht="27.6" x14ac:dyDescent="0.3">
      <c r="A11">
        <v>2</v>
      </c>
      <c r="B11" s="1" t="s">
        <v>145</v>
      </c>
      <c r="C11" s="1" t="s">
        <v>512</v>
      </c>
      <c r="D11" s="2" t="s">
        <v>137</v>
      </c>
      <c r="E11" s="1" t="s">
        <v>26</v>
      </c>
      <c r="F11" s="12">
        <v>0.30719999999999997</v>
      </c>
      <c r="G11" s="13">
        <v>0.7400000000000001</v>
      </c>
      <c r="H11" s="11">
        <f>F11*G11</f>
        <v>0.227328</v>
      </c>
    </row>
    <row r="12" spans="1:8" ht="27.6" x14ac:dyDescent="0.3">
      <c r="A12">
        <v>2</v>
      </c>
      <c r="B12" s="1" t="s">
        <v>145</v>
      </c>
      <c r="C12" s="1" t="s">
        <v>512</v>
      </c>
      <c r="D12" s="2" t="s">
        <v>151</v>
      </c>
      <c r="E12" s="1" t="s">
        <v>26</v>
      </c>
      <c r="F12" s="12">
        <v>5.0999999999999997E-2</v>
      </c>
      <c r="G12" s="13">
        <v>0.7400000000000001</v>
      </c>
      <c r="H12" s="11">
        <f>F12*G12</f>
        <v>3.7740000000000003E-2</v>
      </c>
    </row>
    <row r="13" spans="1:8" ht="27.6" x14ac:dyDescent="0.3">
      <c r="A13">
        <v>3</v>
      </c>
      <c r="B13" s="1" t="s">
        <v>145</v>
      </c>
      <c r="C13" s="1" t="s">
        <v>513</v>
      </c>
      <c r="D13" s="2" t="s">
        <v>160</v>
      </c>
      <c r="E13" s="1" t="s">
        <v>19</v>
      </c>
      <c r="F13" s="12">
        <v>11.8</v>
      </c>
      <c r="G13" s="13"/>
      <c r="H13" s="11"/>
    </row>
    <row r="14" spans="1:8" ht="27.6" x14ac:dyDescent="0.3">
      <c r="A14">
        <v>3</v>
      </c>
      <c r="B14" s="1" t="s">
        <v>145</v>
      </c>
      <c r="C14" s="1" t="s">
        <v>513</v>
      </c>
      <c r="D14" s="2" t="s">
        <v>139</v>
      </c>
      <c r="E14" s="1" t="s">
        <v>19</v>
      </c>
      <c r="F14" s="12">
        <v>0.78400000000000003</v>
      </c>
      <c r="G14" s="13"/>
      <c r="H14" s="11"/>
    </row>
    <row r="15" spans="1:8" ht="27.6" x14ac:dyDescent="0.3">
      <c r="A15">
        <v>3</v>
      </c>
      <c r="B15" s="1" t="s">
        <v>145</v>
      </c>
      <c r="C15" s="1" t="s">
        <v>513</v>
      </c>
      <c r="D15" s="2" t="s">
        <v>140</v>
      </c>
      <c r="E15" s="1" t="s">
        <v>19</v>
      </c>
      <c r="F15" s="12">
        <v>0.30719999999999997</v>
      </c>
      <c r="G15" s="13"/>
      <c r="H15" s="11"/>
    </row>
    <row r="16" spans="1:8" ht="27.6" x14ac:dyDescent="0.3">
      <c r="A16">
        <v>3</v>
      </c>
      <c r="B16" s="1" t="s">
        <v>145</v>
      </c>
      <c r="C16" s="1" t="s">
        <v>513</v>
      </c>
      <c r="D16" s="2" t="s">
        <v>141</v>
      </c>
      <c r="E16" s="1" t="s">
        <v>19</v>
      </c>
      <c r="F16" s="12">
        <v>5.0999999999999997E-2</v>
      </c>
      <c r="G16" s="13"/>
      <c r="H16" s="11"/>
    </row>
    <row r="17" spans="1:8" ht="41.4" x14ac:dyDescent="0.3">
      <c r="A17" s="8">
        <v>9</v>
      </c>
      <c r="B17" s="4" t="s">
        <v>145</v>
      </c>
      <c r="C17" s="4" t="s">
        <v>508</v>
      </c>
      <c r="D17" s="4" t="s">
        <v>146</v>
      </c>
      <c r="E17" s="4" t="s">
        <v>44</v>
      </c>
      <c r="F17" s="9">
        <v>83</v>
      </c>
      <c r="G17" s="10">
        <v>0.39899999999999997</v>
      </c>
      <c r="H17" s="11">
        <f>F17*G17</f>
        <v>33.116999999999997</v>
      </c>
    </row>
    <row r="18" spans="1:8" ht="41.4" x14ac:dyDescent="0.3">
      <c r="A18" s="8">
        <v>9</v>
      </c>
      <c r="B18" s="4" t="s">
        <v>145</v>
      </c>
      <c r="C18" s="4" t="s">
        <v>508</v>
      </c>
      <c r="D18" s="4" t="s">
        <v>147</v>
      </c>
      <c r="E18" s="4" t="s">
        <v>753</v>
      </c>
      <c r="F18" s="9">
        <v>33</v>
      </c>
      <c r="G18" s="10">
        <v>74</v>
      </c>
      <c r="H18" s="11">
        <f>F18*G18</f>
        <v>2442</v>
      </c>
    </row>
    <row r="19" spans="1:8" ht="55.2" x14ac:dyDescent="0.3">
      <c r="A19" s="8">
        <v>9</v>
      </c>
      <c r="B19" s="4" t="s">
        <v>145</v>
      </c>
      <c r="C19" s="4" t="s">
        <v>508</v>
      </c>
      <c r="D19" s="4" t="s">
        <v>148</v>
      </c>
      <c r="E19" s="4" t="s">
        <v>753</v>
      </c>
      <c r="F19" s="9">
        <v>509.99999999999994</v>
      </c>
      <c r="G19" s="10">
        <v>40.000000000000007</v>
      </c>
      <c r="H19" s="11">
        <f>F19*G19</f>
        <v>20400</v>
      </c>
    </row>
    <row r="20" spans="1:8" ht="55.2" x14ac:dyDescent="0.3">
      <c r="A20" s="8">
        <v>9</v>
      </c>
      <c r="B20" s="4" t="s">
        <v>145</v>
      </c>
      <c r="C20" s="4" t="s">
        <v>508</v>
      </c>
      <c r="D20" s="4" t="s">
        <v>149</v>
      </c>
      <c r="E20" s="4" t="s">
        <v>753</v>
      </c>
      <c r="F20" s="9">
        <v>347.5</v>
      </c>
      <c r="G20" s="10">
        <v>91.000000000000014</v>
      </c>
      <c r="H20" s="11">
        <f>F20*G20</f>
        <v>31622.500000000004</v>
      </c>
    </row>
    <row r="21" spans="1:8" ht="55.2" x14ac:dyDescent="0.3">
      <c r="A21" s="8">
        <v>9</v>
      </c>
      <c r="B21" s="4" t="s">
        <v>145</v>
      </c>
      <c r="C21" s="4" t="s">
        <v>508</v>
      </c>
      <c r="D21" s="4" t="s">
        <v>150</v>
      </c>
      <c r="E21" s="4" t="s">
        <v>753</v>
      </c>
      <c r="F21" s="9">
        <v>97.2</v>
      </c>
      <c r="G21" s="10">
        <v>91</v>
      </c>
      <c r="H21" s="11">
        <f>F21*G21</f>
        <v>8845.2000000000007</v>
      </c>
    </row>
    <row r="22" spans="1:8" ht="27.6" x14ac:dyDescent="0.3">
      <c r="A22" s="8">
        <v>10</v>
      </c>
      <c r="B22" s="4" t="s">
        <v>145</v>
      </c>
      <c r="C22" s="4" t="s">
        <v>509</v>
      </c>
      <c r="D22" s="4" t="s">
        <v>53</v>
      </c>
      <c r="E22" s="4" t="s">
        <v>26</v>
      </c>
      <c r="F22" s="9">
        <v>0.747</v>
      </c>
      <c r="G22" s="10">
        <v>0.7400000000000001</v>
      </c>
      <c r="H22" s="11">
        <f>F22*G22</f>
        <v>0.55278000000000005</v>
      </c>
    </row>
    <row r="23" spans="1:8" ht="27.6" x14ac:dyDescent="0.3">
      <c r="A23" s="8">
        <v>10</v>
      </c>
      <c r="B23" s="4" t="s">
        <v>145</v>
      </c>
      <c r="C23" s="4" t="s">
        <v>509</v>
      </c>
      <c r="D23" s="4" t="s">
        <v>137</v>
      </c>
      <c r="E23" s="4" t="s">
        <v>26</v>
      </c>
      <c r="F23" s="9">
        <v>2.3431799999999998</v>
      </c>
      <c r="G23" s="10">
        <v>0.73999991464590864</v>
      </c>
      <c r="H23" s="11">
        <f>F23*G23</f>
        <v>1.7339530000000001</v>
      </c>
    </row>
    <row r="24" spans="1:8" ht="27.6" x14ac:dyDescent="0.3">
      <c r="A24" s="8">
        <v>10</v>
      </c>
      <c r="B24" s="4" t="s">
        <v>145</v>
      </c>
      <c r="C24" s="4" t="s">
        <v>509</v>
      </c>
      <c r="D24" s="4" t="s">
        <v>151</v>
      </c>
      <c r="E24" s="4" t="s">
        <v>26</v>
      </c>
      <c r="F24" s="9">
        <v>0.50819999999999999</v>
      </c>
      <c r="G24" s="10">
        <v>0.7400000000000001</v>
      </c>
      <c r="H24" s="11">
        <f>F24*G24</f>
        <v>0.37606800000000001</v>
      </c>
    </row>
    <row r="25" spans="1:8" ht="27.6" x14ac:dyDescent="0.3">
      <c r="A25" s="8">
        <v>11</v>
      </c>
      <c r="B25" s="4" t="s">
        <v>145</v>
      </c>
      <c r="C25" s="4" t="s">
        <v>510</v>
      </c>
      <c r="D25" s="4" t="s">
        <v>152</v>
      </c>
      <c r="E25" s="4" t="s">
        <v>19</v>
      </c>
      <c r="F25" s="9">
        <v>0.747</v>
      </c>
      <c r="G25" s="10"/>
      <c r="H25" s="11"/>
    </row>
    <row r="26" spans="1:8" ht="27.6" x14ac:dyDescent="0.3">
      <c r="A26" s="8">
        <v>11</v>
      </c>
      <c r="B26" s="4" t="s">
        <v>145</v>
      </c>
      <c r="C26" s="4" t="s">
        <v>510</v>
      </c>
      <c r="D26" s="4" t="s">
        <v>140</v>
      </c>
      <c r="E26" s="4" t="s">
        <v>19</v>
      </c>
      <c r="F26" s="9">
        <v>2.3431799999999998</v>
      </c>
      <c r="G26" s="10"/>
      <c r="H26" s="11"/>
    </row>
    <row r="27" spans="1:8" ht="27.6" x14ac:dyDescent="0.3">
      <c r="A27" s="8">
        <v>11</v>
      </c>
      <c r="B27" s="4" t="s">
        <v>145</v>
      </c>
      <c r="C27" s="4" t="s">
        <v>510</v>
      </c>
      <c r="D27" s="4" t="s">
        <v>141</v>
      </c>
      <c r="E27" s="4" t="s">
        <v>19</v>
      </c>
      <c r="F27" s="9">
        <v>0.50819999999999999</v>
      </c>
      <c r="G27" s="10"/>
      <c r="H27" s="11"/>
    </row>
  </sheetData>
  <autoFilter ref="A1:G16" xr:uid="{5AD5B463-3D4E-4EC3-8F63-31EA8F592329}"/>
  <conditionalFormatting sqref="B2:G27">
    <cfRule type="expression" dxfId="80" priority="1">
      <formula>$I2&gt;0</formula>
    </cfRule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C1961-93F5-41A4-AEA0-CFC63DF6A98F}">
  <sheetPr codeName="Лист14"/>
  <dimension ref="A1:H48"/>
  <sheetViews>
    <sheetView topLeftCell="A157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1</v>
      </c>
      <c r="B2" s="1" t="s">
        <v>161</v>
      </c>
      <c r="C2" s="1" t="s">
        <v>514</v>
      </c>
      <c r="D2" s="2" t="s">
        <v>162</v>
      </c>
      <c r="E2" s="1" t="s">
        <v>163</v>
      </c>
      <c r="F2" s="12">
        <v>103</v>
      </c>
      <c r="G2" s="13">
        <v>3.7309999999999999</v>
      </c>
      <c r="H2" s="11">
        <f>F2*G2</f>
        <v>384.29300000000001</v>
      </c>
    </row>
    <row r="3" spans="1:8" ht="27.6" x14ac:dyDescent="0.3">
      <c r="A3">
        <v>1</v>
      </c>
      <c r="B3" s="1" t="s">
        <v>161</v>
      </c>
      <c r="C3" s="1" t="s">
        <v>514</v>
      </c>
      <c r="D3" s="2" t="s">
        <v>164</v>
      </c>
      <c r="E3" s="1" t="s">
        <v>163</v>
      </c>
      <c r="F3" s="12">
        <v>3</v>
      </c>
      <c r="G3" s="13">
        <v>6.7480000000000002</v>
      </c>
      <c r="H3" s="11">
        <f>F3*G3</f>
        <v>20.244</v>
      </c>
    </row>
    <row r="4" spans="1:8" ht="27.6" x14ac:dyDescent="0.3">
      <c r="A4">
        <v>1</v>
      </c>
      <c r="B4" s="1" t="s">
        <v>161</v>
      </c>
      <c r="C4" s="1" t="s">
        <v>514</v>
      </c>
      <c r="D4" s="2" t="s">
        <v>165</v>
      </c>
      <c r="E4" s="1" t="s">
        <v>163</v>
      </c>
      <c r="F4" s="12">
        <v>3</v>
      </c>
      <c r="G4" s="13">
        <v>9.6530000000000005</v>
      </c>
      <c r="H4" s="11">
        <f>F4*G4</f>
        <v>28.959000000000003</v>
      </c>
    </row>
    <row r="5" spans="1:8" ht="27.6" x14ac:dyDescent="0.3">
      <c r="A5">
        <v>1</v>
      </c>
      <c r="B5" s="1" t="s">
        <v>161</v>
      </c>
      <c r="C5" s="1" t="s">
        <v>514</v>
      </c>
      <c r="D5" s="2" t="s">
        <v>164</v>
      </c>
      <c r="E5" s="1" t="s">
        <v>163</v>
      </c>
      <c r="F5" s="12">
        <v>2</v>
      </c>
      <c r="G5" s="13">
        <v>6.7480000000000002</v>
      </c>
      <c r="H5" s="11">
        <f>F5*G5</f>
        <v>13.496</v>
      </c>
    </row>
    <row r="6" spans="1:8" ht="27.6" x14ac:dyDescent="0.3">
      <c r="A6">
        <v>1</v>
      </c>
      <c r="B6" s="1" t="s">
        <v>161</v>
      </c>
      <c r="C6" s="1" t="s">
        <v>514</v>
      </c>
      <c r="D6" s="2" t="s">
        <v>164</v>
      </c>
      <c r="E6" s="1" t="s">
        <v>163</v>
      </c>
      <c r="F6" s="12">
        <v>1</v>
      </c>
      <c r="G6" s="13">
        <v>6.7480000000000002</v>
      </c>
      <c r="H6" s="11">
        <f>F6*G6</f>
        <v>6.7480000000000002</v>
      </c>
    </row>
    <row r="7" spans="1:8" ht="27.6" x14ac:dyDescent="0.3">
      <c r="A7">
        <v>1</v>
      </c>
      <c r="B7" s="1" t="s">
        <v>161</v>
      </c>
      <c r="C7" s="1" t="s">
        <v>514</v>
      </c>
      <c r="D7" s="2" t="s">
        <v>166</v>
      </c>
      <c r="E7" s="1" t="s">
        <v>163</v>
      </c>
      <c r="F7" s="12">
        <v>1</v>
      </c>
      <c r="G7" s="13">
        <v>6.7480000000000002</v>
      </c>
      <c r="H7" s="11">
        <f>F7*G7</f>
        <v>6.7480000000000002</v>
      </c>
    </row>
    <row r="8" spans="1:8" x14ac:dyDescent="0.3">
      <c r="A8">
        <v>1</v>
      </c>
      <c r="B8" s="1" t="s">
        <v>161</v>
      </c>
      <c r="C8" s="1" t="s">
        <v>514</v>
      </c>
      <c r="D8" s="2" t="s">
        <v>167</v>
      </c>
      <c r="E8" s="1" t="s">
        <v>19</v>
      </c>
      <c r="F8" s="12">
        <v>8.6419999999999997E-2</v>
      </c>
      <c r="G8" s="13">
        <v>15.141009025688499</v>
      </c>
      <c r="H8" s="11">
        <f>F8*G8</f>
        <v>1.308486</v>
      </c>
    </row>
    <row r="9" spans="1:8" x14ac:dyDescent="0.3">
      <c r="A9">
        <v>1</v>
      </c>
      <c r="B9" s="1" t="s">
        <v>161</v>
      </c>
      <c r="C9" s="1" t="s">
        <v>514</v>
      </c>
      <c r="D9" s="2" t="s">
        <v>168</v>
      </c>
      <c r="E9" s="1" t="s">
        <v>19</v>
      </c>
      <c r="F9" s="12">
        <v>0.10104</v>
      </c>
      <c r="G9" s="13">
        <v>15.141003562945366</v>
      </c>
      <c r="H9" s="11">
        <f>F9*G9</f>
        <v>1.529847</v>
      </c>
    </row>
    <row r="10" spans="1:8" ht="27.6" x14ac:dyDescent="0.3">
      <c r="A10">
        <v>1</v>
      </c>
      <c r="B10" s="1" t="s">
        <v>161</v>
      </c>
      <c r="C10" s="1" t="s">
        <v>514</v>
      </c>
      <c r="D10" s="2" t="s">
        <v>169</v>
      </c>
      <c r="E10" s="1" t="s">
        <v>19</v>
      </c>
      <c r="F10" s="12">
        <v>1.2999999999999999E-2</v>
      </c>
      <c r="G10" s="13">
        <v>12.257000000000001</v>
      </c>
      <c r="H10" s="11">
        <f>F10*G10</f>
        <v>0.15934100000000001</v>
      </c>
    </row>
    <row r="11" spans="1:8" x14ac:dyDescent="0.3">
      <c r="A11">
        <v>2</v>
      </c>
      <c r="B11" s="1" t="s">
        <v>161</v>
      </c>
      <c r="C11" s="1" t="s">
        <v>515</v>
      </c>
      <c r="D11" s="2" t="s">
        <v>40</v>
      </c>
      <c r="E11" s="1" t="s">
        <v>26</v>
      </c>
      <c r="F11" s="12">
        <v>0.20046</v>
      </c>
      <c r="G11" s="13">
        <v>0.73999800458944431</v>
      </c>
      <c r="H11" s="11">
        <f>F11*G11</f>
        <v>0.14834</v>
      </c>
    </row>
    <row r="12" spans="1:8" x14ac:dyDescent="0.3">
      <c r="A12">
        <v>2</v>
      </c>
      <c r="B12" s="1" t="s">
        <v>161</v>
      </c>
      <c r="C12" s="1" t="s">
        <v>515</v>
      </c>
      <c r="D12" s="2" t="s">
        <v>27</v>
      </c>
      <c r="E12" s="1" t="s">
        <v>26</v>
      </c>
      <c r="F12" s="12">
        <v>220.41720000000001</v>
      </c>
      <c r="G12" s="13">
        <v>3.81</v>
      </c>
      <c r="H12" s="11">
        <f>F12*G12</f>
        <v>839.78953200000001</v>
      </c>
    </row>
    <row r="13" spans="1:8" ht="27.6" x14ac:dyDescent="0.3">
      <c r="A13">
        <v>3</v>
      </c>
      <c r="B13" s="1" t="s">
        <v>161</v>
      </c>
      <c r="C13" s="1" t="s">
        <v>516</v>
      </c>
      <c r="D13" s="2" t="s">
        <v>41</v>
      </c>
      <c r="E13" s="1" t="s">
        <v>19</v>
      </c>
      <c r="F13" s="12">
        <v>0.20046</v>
      </c>
      <c r="G13" s="13"/>
      <c r="H13" s="11"/>
    </row>
    <row r="14" spans="1:8" x14ac:dyDescent="0.3">
      <c r="A14">
        <v>3</v>
      </c>
      <c r="B14" s="1" t="s">
        <v>161</v>
      </c>
      <c r="C14" s="1" t="s">
        <v>516</v>
      </c>
      <c r="D14" s="2" t="s">
        <v>28</v>
      </c>
      <c r="E14" s="1" t="s">
        <v>19</v>
      </c>
      <c r="F14" s="12">
        <v>220.41720000000001</v>
      </c>
      <c r="G14" s="13"/>
      <c r="H14" s="11"/>
    </row>
    <row r="15" spans="1:8" ht="27.6" x14ac:dyDescent="0.3">
      <c r="A15">
        <v>4</v>
      </c>
      <c r="B15" s="1" t="s">
        <v>161</v>
      </c>
      <c r="C15" s="1" t="s">
        <v>517</v>
      </c>
      <c r="D15" s="2" t="s">
        <v>144</v>
      </c>
      <c r="E15" s="1" t="s">
        <v>21</v>
      </c>
      <c r="F15" s="12">
        <v>0.08</v>
      </c>
      <c r="G15" s="13">
        <v>615</v>
      </c>
      <c r="H15" s="11">
        <f>F15*G15</f>
        <v>49.2</v>
      </c>
    </row>
    <row r="16" spans="1:8" ht="27.6" x14ac:dyDescent="0.3">
      <c r="A16">
        <v>5</v>
      </c>
      <c r="B16" s="1" t="s">
        <v>161</v>
      </c>
      <c r="C16" s="1" t="s">
        <v>518</v>
      </c>
      <c r="D16" s="2" t="s">
        <v>170</v>
      </c>
      <c r="E16" s="1" t="s">
        <v>2</v>
      </c>
      <c r="F16" s="12">
        <v>1.4999999999999999E-2</v>
      </c>
      <c r="G16" s="13">
        <v>36.365000000000002</v>
      </c>
      <c r="H16" s="11">
        <f>F16*G16</f>
        <v>0.54547500000000004</v>
      </c>
    </row>
    <row r="17" spans="1:8" ht="27.6" x14ac:dyDescent="0.3">
      <c r="A17">
        <v>5</v>
      </c>
      <c r="B17" s="1" t="s">
        <v>161</v>
      </c>
      <c r="C17" s="1" t="s">
        <v>518</v>
      </c>
      <c r="D17" s="2" t="s">
        <v>171</v>
      </c>
      <c r="E17" s="1" t="s">
        <v>163</v>
      </c>
      <c r="F17" s="12">
        <v>1</v>
      </c>
      <c r="G17" s="13">
        <v>0.87</v>
      </c>
      <c r="H17" s="11">
        <f>F17*G17</f>
        <v>0.87</v>
      </c>
    </row>
    <row r="18" spans="1:8" x14ac:dyDescent="0.3">
      <c r="A18">
        <v>5</v>
      </c>
      <c r="B18" s="1" t="s">
        <v>161</v>
      </c>
      <c r="C18" s="1" t="s">
        <v>518</v>
      </c>
      <c r="D18" s="2" t="s">
        <v>172</v>
      </c>
      <c r="E18" s="1" t="s">
        <v>173</v>
      </c>
      <c r="F18" s="12">
        <v>1</v>
      </c>
      <c r="G18" s="13">
        <v>4.4950000000000001</v>
      </c>
      <c r="H18" s="11">
        <f>F18*G18</f>
        <v>4.4950000000000001</v>
      </c>
    </row>
    <row r="19" spans="1:8" x14ac:dyDescent="0.3">
      <c r="A19">
        <v>5</v>
      </c>
      <c r="B19" s="1" t="s">
        <v>161</v>
      </c>
      <c r="C19" s="1" t="s">
        <v>518</v>
      </c>
      <c r="D19" s="2" t="s">
        <v>174</v>
      </c>
      <c r="E19" s="1" t="s">
        <v>173</v>
      </c>
      <c r="F19" s="12">
        <v>1</v>
      </c>
      <c r="G19" s="13">
        <v>2.665</v>
      </c>
      <c r="H19" s="11">
        <f>F19*G19</f>
        <v>2.665</v>
      </c>
    </row>
    <row r="20" spans="1:8" x14ac:dyDescent="0.3">
      <c r="A20">
        <v>6</v>
      </c>
      <c r="B20" s="1" t="s">
        <v>161</v>
      </c>
      <c r="C20" s="1" t="s">
        <v>519</v>
      </c>
      <c r="D20" s="2" t="s">
        <v>175</v>
      </c>
      <c r="E20" s="1" t="s">
        <v>26</v>
      </c>
      <c r="F20" s="12">
        <v>0.01</v>
      </c>
      <c r="G20" s="13">
        <v>3.81</v>
      </c>
      <c r="H20" s="11">
        <f>F20*G20</f>
        <v>3.8100000000000002E-2</v>
      </c>
    </row>
    <row r="21" spans="1:8" x14ac:dyDescent="0.3">
      <c r="A21">
        <v>6</v>
      </c>
      <c r="B21" s="1" t="s">
        <v>161</v>
      </c>
      <c r="C21" s="1" t="s">
        <v>519</v>
      </c>
      <c r="D21" s="2" t="s">
        <v>176</v>
      </c>
      <c r="E21" s="1" t="s">
        <v>26</v>
      </c>
      <c r="F21" s="12">
        <v>1.7999999999999999E-2</v>
      </c>
      <c r="G21" s="13">
        <v>0.7400000000000001</v>
      </c>
      <c r="H21" s="11">
        <f>F21*G21</f>
        <v>1.332E-2</v>
      </c>
    </row>
    <row r="22" spans="1:8" x14ac:dyDescent="0.3">
      <c r="A22">
        <v>7</v>
      </c>
      <c r="B22" s="1" t="s">
        <v>161</v>
      </c>
      <c r="C22" s="1" t="s">
        <v>520</v>
      </c>
      <c r="D22" s="2" t="s">
        <v>177</v>
      </c>
      <c r="E22" s="1" t="s">
        <v>19</v>
      </c>
      <c r="F22" s="12">
        <v>1.7999999999999999E-2</v>
      </c>
      <c r="G22" s="13"/>
      <c r="H22" s="11"/>
    </row>
    <row r="23" spans="1:8" x14ac:dyDescent="0.3">
      <c r="A23">
        <v>7</v>
      </c>
      <c r="B23" s="1" t="s">
        <v>161</v>
      </c>
      <c r="C23" s="1" t="s">
        <v>520</v>
      </c>
      <c r="D23" s="2" t="s">
        <v>178</v>
      </c>
      <c r="E23" s="1" t="s">
        <v>19</v>
      </c>
      <c r="F23" s="12">
        <v>1.7999999999999999E-2</v>
      </c>
      <c r="G23" s="13"/>
      <c r="H23" s="11"/>
    </row>
    <row r="24" spans="1:8" x14ac:dyDescent="0.3">
      <c r="A24">
        <v>8</v>
      </c>
      <c r="B24" s="1" t="s">
        <v>161</v>
      </c>
      <c r="C24" s="1" t="s">
        <v>521</v>
      </c>
      <c r="D24" s="2" t="s">
        <v>93</v>
      </c>
      <c r="E24" s="1" t="s">
        <v>21</v>
      </c>
      <c r="F24" s="12">
        <v>0.08</v>
      </c>
      <c r="G24" s="13">
        <v>222.00000000000003</v>
      </c>
      <c r="H24" s="11">
        <f>F24*G24</f>
        <v>17.760000000000002</v>
      </c>
    </row>
    <row r="25" spans="1:8" ht="27.6" x14ac:dyDescent="0.3">
      <c r="A25">
        <v>9</v>
      </c>
      <c r="B25" s="1" t="s">
        <v>161</v>
      </c>
      <c r="C25" s="1" t="s">
        <v>522</v>
      </c>
      <c r="D25" s="2" t="s">
        <v>162</v>
      </c>
      <c r="E25" s="1" t="s">
        <v>163</v>
      </c>
      <c r="F25" s="12">
        <v>103</v>
      </c>
      <c r="G25" s="13">
        <v>3.7309999999999999</v>
      </c>
      <c r="H25" s="11">
        <f>F25*G25</f>
        <v>384.29300000000001</v>
      </c>
    </row>
    <row r="26" spans="1:8" ht="27.6" x14ac:dyDescent="0.3">
      <c r="A26">
        <v>9</v>
      </c>
      <c r="B26" s="1" t="s">
        <v>161</v>
      </c>
      <c r="C26" s="1" t="s">
        <v>522</v>
      </c>
      <c r="D26" s="2" t="s">
        <v>164</v>
      </c>
      <c r="E26" s="1" t="s">
        <v>163</v>
      </c>
      <c r="F26" s="12">
        <v>3</v>
      </c>
      <c r="G26" s="13">
        <v>6.7480000000000002</v>
      </c>
      <c r="H26" s="11">
        <f>F26*G26</f>
        <v>20.244</v>
      </c>
    </row>
    <row r="27" spans="1:8" ht="27.6" x14ac:dyDescent="0.3">
      <c r="A27">
        <v>9</v>
      </c>
      <c r="B27" s="1" t="s">
        <v>161</v>
      </c>
      <c r="C27" s="1" t="s">
        <v>522</v>
      </c>
      <c r="D27" s="2" t="s">
        <v>165</v>
      </c>
      <c r="E27" s="1" t="s">
        <v>163</v>
      </c>
      <c r="F27" s="12">
        <v>3</v>
      </c>
      <c r="G27" s="13">
        <v>9.6530000000000005</v>
      </c>
      <c r="H27" s="11">
        <f>F27*G27</f>
        <v>28.959000000000003</v>
      </c>
    </row>
    <row r="28" spans="1:8" ht="27.6" x14ac:dyDescent="0.3">
      <c r="A28">
        <v>9</v>
      </c>
      <c r="B28" s="1" t="s">
        <v>161</v>
      </c>
      <c r="C28" s="1" t="s">
        <v>522</v>
      </c>
      <c r="D28" s="2" t="s">
        <v>164</v>
      </c>
      <c r="E28" s="1" t="s">
        <v>163</v>
      </c>
      <c r="F28" s="12">
        <v>2</v>
      </c>
      <c r="G28" s="13">
        <v>6.7480000000000002</v>
      </c>
      <c r="H28" s="11">
        <f>F28*G28</f>
        <v>13.496</v>
      </c>
    </row>
    <row r="29" spans="1:8" ht="27.6" x14ac:dyDescent="0.3">
      <c r="A29">
        <v>9</v>
      </c>
      <c r="B29" s="1" t="s">
        <v>161</v>
      </c>
      <c r="C29" s="1" t="s">
        <v>522</v>
      </c>
      <c r="D29" s="2" t="s">
        <v>164</v>
      </c>
      <c r="E29" s="1" t="s">
        <v>163</v>
      </c>
      <c r="F29" s="12">
        <v>1</v>
      </c>
      <c r="G29" s="13">
        <v>6.7480000000000002</v>
      </c>
      <c r="H29" s="11">
        <f>F29*G29</f>
        <v>6.7480000000000002</v>
      </c>
    </row>
    <row r="30" spans="1:8" ht="27.6" x14ac:dyDescent="0.3">
      <c r="A30">
        <v>9</v>
      </c>
      <c r="B30" s="1" t="s">
        <v>161</v>
      </c>
      <c r="C30" s="1" t="s">
        <v>522</v>
      </c>
      <c r="D30" s="2" t="s">
        <v>166</v>
      </c>
      <c r="E30" s="1" t="s">
        <v>163</v>
      </c>
      <c r="F30" s="12">
        <v>1</v>
      </c>
      <c r="G30" s="13">
        <v>6.7480000000000002</v>
      </c>
      <c r="H30" s="11">
        <f>F30*G30</f>
        <v>6.7480000000000002</v>
      </c>
    </row>
    <row r="31" spans="1:8" x14ac:dyDescent="0.3">
      <c r="A31">
        <v>9</v>
      </c>
      <c r="B31" s="1" t="s">
        <v>161</v>
      </c>
      <c r="C31" s="1" t="s">
        <v>522</v>
      </c>
      <c r="D31" s="2" t="s">
        <v>167</v>
      </c>
      <c r="E31" s="1" t="s">
        <v>19</v>
      </c>
      <c r="F31" s="12">
        <v>8.6419999999999997E-2</v>
      </c>
      <c r="G31" s="13">
        <v>15.141009025688499</v>
      </c>
      <c r="H31" s="11">
        <f>F31*G31</f>
        <v>1.308486</v>
      </c>
    </row>
    <row r="32" spans="1:8" x14ac:dyDescent="0.3">
      <c r="A32">
        <v>9</v>
      </c>
      <c r="B32" s="1" t="s">
        <v>161</v>
      </c>
      <c r="C32" s="1" t="s">
        <v>522</v>
      </c>
      <c r="D32" s="2" t="s">
        <v>168</v>
      </c>
      <c r="E32" s="1" t="s">
        <v>19</v>
      </c>
      <c r="F32" s="12">
        <v>0.10104</v>
      </c>
      <c r="G32" s="13">
        <v>15.141003562945366</v>
      </c>
      <c r="H32" s="11">
        <f>F32*G32</f>
        <v>1.529847</v>
      </c>
    </row>
    <row r="33" spans="1:8" ht="27.6" x14ac:dyDescent="0.3">
      <c r="A33">
        <v>9</v>
      </c>
      <c r="B33" s="1" t="s">
        <v>161</v>
      </c>
      <c r="C33" s="1" t="s">
        <v>522</v>
      </c>
      <c r="D33" s="2" t="s">
        <v>169</v>
      </c>
      <c r="E33" s="1" t="s">
        <v>19</v>
      </c>
      <c r="F33" s="12">
        <v>1.2999999999999999E-2</v>
      </c>
      <c r="G33" s="13">
        <v>12.257000000000001</v>
      </c>
      <c r="H33" s="11">
        <f>F33*G33</f>
        <v>0.15934100000000001</v>
      </c>
    </row>
    <row r="34" spans="1:8" x14ac:dyDescent="0.3">
      <c r="A34">
        <v>10</v>
      </c>
      <c r="B34" s="1" t="s">
        <v>161</v>
      </c>
      <c r="C34" s="1" t="s">
        <v>523</v>
      </c>
      <c r="D34" s="2" t="s">
        <v>40</v>
      </c>
      <c r="E34" s="1" t="s">
        <v>26</v>
      </c>
      <c r="F34" s="12">
        <v>0.20046</v>
      </c>
      <c r="G34" s="13">
        <v>0.73999800458944431</v>
      </c>
      <c r="H34" s="11">
        <f>F34*G34</f>
        <v>0.14834</v>
      </c>
    </row>
    <row r="35" spans="1:8" x14ac:dyDescent="0.3">
      <c r="A35">
        <v>10</v>
      </c>
      <c r="B35" s="1" t="s">
        <v>161</v>
      </c>
      <c r="C35" s="1" t="s">
        <v>523</v>
      </c>
      <c r="D35" s="2" t="s">
        <v>27</v>
      </c>
      <c r="E35" s="1" t="s">
        <v>26</v>
      </c>
      <c r="F35" s="12">
        <v>220.41720000000001</v>
      </c>
      <c r="G35" s="13">
        <v>3.81</v>
      </c>
      <c r="H35" s="11">
        <f>F35*G35</f>
        <v>839.78953200000001</v>
      </c>
    </row>
    <row r="36" spans="1:8" ht="27.6" x14ac:dyDescent="0.3">
      <c r="A36">
        <v>11</v>
      </c>
      <c r="B36" s="1" t="s">
        <v>161</v>
      </c>
      <c r="C36" s="1" t="s">
        <v>524</v>
      </c>
      <c r="D36" s="2" t="s">
        <v>41</v>
      </c>
      <c r="E36" s="1" t="s">
        <v>19</v>
      </c>
      <c r="F36" s="12">
        <v>0.20046</v>
      </c>
      <c r="G36" s="13"/>
      <c r="H36" s="11"/>
    </row>
    <row r="37" spans="1:8" x14ac:dyDescent="0.3">
      <c r="A37">
        <v>11</v>
      </c>
      <c r="B37" s="1" t="s">
        <v>161</v>
      </c>
      <c r="C37" s="1" t="s">
        <v>524</v>
      </c>
      <c r="D37" s="2" t="s">
        <v>28</v>
      </c>
      <c r="E37" s="1" t="s">
        <v>19</v>
      </c>
      <c r="F37" s="12">
        <v>220.41720000000001</v>
      </c>
      <c r="G37" s="13"/>
      <c r="H37" s="11"/>
    </row>
    <row r="38" spans="1:8" ht="27.6" x14ac:dyDescent="0.3">
      <c r="A38">
        <v>12</v>
      </c>
      <c r="B38" s="1" t="s">
        <v>161</v>
      </c>
      <c r="C38" s="1" t="s">
        <v>525</v>
      </c>
      <c r="D38" s="2" t="s">
        <v>144</v>
      </c>
      <c r="E38" s="1" t="s">
        <v>21</v>
      </c>
      <c r="F38" s="12">
        <v>25.319999999999997</v>
      </c>
      <c r="G38" s="13">
        <v>615</v>
      </c>
      <c r="H38" s="11">
        <f>F38*G38</f>
        <v>15571.799999999997</v>
      </c>
    </row>
    <row r="39" spans="1:8" ht="27.6" x14ac:dyDescent="0.3">
      <c r="A39">
        <v>13</v>
      </c>
      <c r="B39" s="1" t="s">
        <v>161</v>
      </c>
      <c r="C39" s="1" t="s">
        <v>526</v>
      </c>
      <c r="D39" s="2" t="s">
        <v>170</v>
      </c>
      <c r="E39" s="1" t="s">
        <v>2</v>
      </c>
      <c r="F39" s="12">
        <v>4.4400000000000004</v>
      </c>
      <c r="G39" s="13">
        <v>36.364999999999995</v>
      </c>
      <c r="H39" s="11">
        <f>F39*G39</f>
        <v>161.4606</v>
      </c>
    </row>
    <row r="40" spans="1:8" ht="27.6" x14ac:dyDescent="0.3">
      <c r="A40">
        <v>13</v>
      </c>
      <c r="B40" s="1" t="s">
        <v>161</v>
      </c>
      <c r="C40" s="1" t="s">
        <v>526</v>
      </c>
      <c r="D40" s="2" t="s">
        <v>171</v>
      </c>
      <c r="E40" s="1" t="s">
        <v>163</v>
      </c>
      <c r="F40" s="12">
        <v>61</v>
      </c>
      <c r="G40" s="13">
        <v>0.87</v>
      </c>
      <c r="H40" s="11">
        <f>F40*G40</f>
        <v>53.07</v>
      </c>
    </row>
    <row r="41" spans="1:8" x14ac:dyDescent="0.3">
      <c r="A41">
        <v>13</v>
      </c>
      <c r="B41" s="1" t="s">
        <v>161</v>
      </c>
      <c r="C41" s="1" t="s">
        <v>526</v>
      </c>
      <c r="D41" s="2" t="s">
        <v>172</v>
      </c>
      <c r="E41" s="1" t="s">
        <v>173</v>
      </c>
      <c r="F41" s="12">
        <v>3</v>
      </c>
      <c r="G41" s="13">
        <v>4.4950000000000001</v>
      </c>
      <c r="H41" s="11">
        <f>F41*G41</f>
        <v>13.484999999999999</v>
      </c>
    </row>
    <row r="42" spans="1:8" x14ac:dyDescent="0.3">
      <c r="A42">
        <v>13</v>
      </c>
      <c r="B42" s="1" t="s">
        <v>161</v>
      </c>
      <c r="C42" s="1" t="s">
        <v>526</v>
      </c>
      <c r="D42" s="2" t="s">
        <v>174</v>
      </c>
      <c r="E42" s="1" t="s">
        <v>173</v>
      </c>
      <c r="F42" s="12">
        <v>102</v>
      </c>
      <c r="G42" s="13">
        <v>2.665</v>
      </c>
      <c r="H42" s="11">
        <f>F42*G42</f>
        <v>271.83</v>
      </c>
    </row>
    <row r="43" spans="1:8" ht="27.6" x14ac:dyDescent="0.3">
      <c r="A43">
        <v>13</v>
      </c>
      <c r="B43" s="1" t="s">
        <v>161</v>
      </c>
      <c r="C43" s="1" t="s">
        <v>526</v>
      </c>
      <c r="D43" s="2" t="s">
        <v>179</v>
      </c>
      <c r="E43" s="1" t="s">
        <v>180</v>
      </c>
      <c r="F43" s="12">
        <v>8.9999999999999993E-3</v>
      </c>
      <c r="G43" s="13">
        <v>150.00000000000003</v>
      </c>
      <c r="H43" s="11">
        <f>F43*G43</f>
        <v>1.35</v>
      </c>
    </row>
    <row r="44" spans="1:8" x14ac:dyDescent="0.3">
      <c r="A44">
        <v>14</v>
      </c>
      <c r="B44" s="1" t="s">
        <v>161</v>
      </c>
      <c r="C44" s="6" t="s">
        <v>527</v>
      </c>
      <c r="D44" s="2" t="s">
        <v>93</v>
      </c>
      <c r="E44" s="1" t="s">
        <v>21</v>
      </c>
      <c r="F44" s="12">
        <v>25.319999999999997</v>
      </c>
      <c r="G44" s="13">
        <v>222.00000000000003</v>
      </c>
      <c r="H44" s="11">
        <f>F44*G44</f>
        <v>5621.04</v>
      </c>
    </row>
    <row r="45" spans="1:8" x14ac:dyDescent="0.3">
      <c r="A45">
        <v>15</v>
      </c>
      <c r="B45" s="1" t="s">
        <v>161</v>
      </c>
      <c r="C45" s="1" t="s">
        <v>528</v>
      </c>
      <c r="D45" s="2" t="s">
        <v>175</v>
      </c>
      <c r="E45" s="1" t="s">
        <v>26</v>
      </c>
      <c r="F45" s="12">
        <v>0.67</v>
      </c>
      <c r="G45" s="13">
        <v>3.81</v>
      </c>
      <c r="H45" s="11">
        <f>F45*G45</f>
        <v>2.5527000000000002</v>
      </c>
    </row>
    <row r="46" spans="1:8" x14ac:dyDescent="0.3">
      <c r="A46">
        <v>15</v>
      </c>
      <c r="B46" s="1" t="s">
        <v>161</v>
      </c>
      <c r="C46" s="1" t="s">
        <v>528</v>
      </c>
      <c r="D46" s="2" t="s">
        <v>176</v>
      </c>
      <c r="E46" s="1" t="s">
        <v>26</v>
      </c>
      <c r="F46" s="12">
        <v>5.3280000000000003</v>
      </c>
      <c r="G46" s="13">
        <v>0.74</v>
      </c>
      <c r="H46" s="11">
        <f>F46*G46</f>
        <v>3.94272</v>
      </c>
    </row>
    <row r="47" spans="1:8" x14ac:dyDescent="0.3">
      <c r="A47">
        <v>16</v>
      </c>
      <c r="B47" s="1" t="s">
        <v>161</v>
      </c>
      <c r="C47" s="1" t="s">
        <v>529</v>
      </c>
      <c r="D47" s="2" t="s">
        <v>177</v>
      </c>
      <c r="E47" s="1" t="s">
        <v>19</v>
      </c>
      <c r="F47" s="12">
        <v>5.3280000000000003</v>
      </c>
      <c r="G47" s="13"/>
      <c r="H47" s="11"/>
    </row>
    <row r="48" spans="1:8" x14ac:dyDescent="0.3">
      <c r="A48">
        <v>16</v>
      </c>
      <c r="B48" s="1" t="s">
        <v>161</v>
      </c>
      <c r="C48" s="1" t="s">
        <v>529</v>
      </c>
      <c r="D48" s="2" t="s">
        <v>178</v>
      </c>
      <c r="E48" s="1" t="s">
        <v>19</v>
      </c>
      <c r="F48" s="12">
        <v>0.67</v>
      </c>
      <c r="G48" s="13"/>
      <c r="H48" s="11"/>
    </row>
  </sheetData>
  <autoFilter ref="A1:G48" xr:uid="{A0DC1961-93F5-41A4-AEA0-CFC63DF6A98F}"/>
  <conditionalFormatting sqref="B45:G48 B44 D44:G44 B2:G43">
    <cfRule type="expression" dxfId="79" priority="1">
      <formula>$I2&gt;0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A9225-572B-4851-B19F-A213D964F108}">
  <sheetPr codeName="Лист15"/>
  <dimension ref="A1:H22"/>
  <sheetViews>
    <sheetView topLeftCell="A43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1</v>
      </c>
      <c r="B2" s="1" t="s">
        <v>181</v>
      </c>
      <c r="C2" s="1" t="s">
        <v>530</v>
      </c>
      <c r="D2" s="2" t="s">
        <v>182</v>
      </c>
      <c r="E2" s="1" t="s">
        <v>183</v>
      </c>
      <c r="F2" s="12">
        <v>144</v>
      </c>
      <c r="G2" s="13">
        <v>0.8</v>
      </c>
      <c r="H2" s="11">
        <f>F2*G2</f>
        <v>115.2</v>
      </c>
    </row>
    <row r="3" spans="1:8" x14ac:dyDescent="0.3">
      <c r="A3">
        <v>1</v>
      </c>
      <c r="B3" s="1" t="s">
        <v>181</v>
      </c>
      <c r="C3" s="1" t="s">
        <v>530</v>
      </c>
      <c r="D3" s="2" t="s">
        <v>184</v>
      </c>
      <c r="E3" s="1" t="s">
        <v>185</v>
      </c>
      <c r="F3" s="12">
        <v>122</v>
      </c>
      <c r="G3" s="13">
        <v>0.79999999999999993</v>
      </c>
      <c r="H3" s="11">
        <f>F3*G3</f>
        <v>97.6</v>
      </c>
    </row>
    <row r="4" spans="1:8" ht="27.6" x14ac:dyDescent="0.3">
      <c r="A4">
        <v>1</v>
      </c>
      <c r="B4" s="1" t="s">
        <v>181</v>
      </c>
      <c r="C4" s="1" t="s">
        <v>530</v>
      </c>
      <c r="D4" s="2" t="s">
        <v>186</v>
      </c>
      <c r="E4" s="1" t="s">
        <v>187</v>
      </c>
      <c r="F4" s="12">
        <v>647</v>
      </c>
      <c r="G4" s="13">
        <v>0.53</v>
      </c>
      <c r="H4" s="11">
        <f>F4*G4</f>
        <v>342.91</v>
      </c>
    </row>
    <row r="5" spans="1:8" ht="41.4" x14ac:dyDescent="0.3">
      <c r="A5">
        <v>1</v>
      </c>
      <c r="B5" s="1" t="s">
        <v>181</v>
      </c>
      <c r="C5" s="1" t="s">
        <v>530</v>
      </c>
      <c r="D5" s="2" t="s">
        <v>188</v>
      </c>
      <c r="E5" s="1" t="s">
        <v>189</v>
      </c>
      <c r="F5" s="12">
        <v>10</v>
      </c>
      <c r="G5" s="13">
        <v>0.44500000000000001</v>
      </c>
      <c r="H5" s="11">
        <f>F5*G5</f>
        <v>4.45</v>
      </c>
    </row>
    <row r="6" spans="1:8" ht="27.6" x14ac:dyDescent="0.3">
      <c r="A6">
        <v>2</v>
      </c>
      <c r="B6" s="1" t="s">
        <v>181</v>
      </c>
      <c r="C6" s="1" t="s">
        <v>531</v>
      </c>
      <c r="D6" s="2" t="s">
        <v>190</v>
      </c>
      <c r="E6" s="1" t="s">
        <v>21</v>
      </c>
      <c r="F6" s="12">
        <v>15983.800000000001</v>
      </c>
      <c r="G6" s="13"/>
      <c r="H6" s="11"/>
    </row>
    <row r="7" spans="1:8" ht="27.6" x14ac:dyDescent="0.3">
      <c r="A7">
        <v>2</v>
      </c>
      <c r="B7" s="1" t="s">
        <v>181</v>
      </c>
      <c r="C7" s="1" t="s">
        <v>531</v>
      </c>
      <c r="D7" s="2" t="s">
        <v>191</v>
      </c>
      <c r="E7" s="1" t="s">
        <v>21</v>
      </c>
      <c r="F7" s="12">
        <v>32.619999999999997</v>
      </c>
      <c r="G7" s="13">
        <v>615</v>
      </c>
      <c r="H7" s="11">
        <f>F7*G7</f>
        <v>20061.3</v>
      </c>
    </row>
    <row r="8" spans="1:8" ht="27.6" x14ac:dyDescent="0.3">
      <c r="A8">
        <v>3</v>
      </c>
      <c r="B8" s="1" t="s">
        <v>181</v>
      </c>
      <c r="C8" s="1" t="s">
        <v>532</v>
      </c>
      <c r="D8" s="2" t="s">
        <v>192</v>
      </c>
      <c r="E8" s="1" t="s">
        <v>21</v>
      </c>
      <c r="F8" s="12">
        <v>15983.800000000001</v>
      </c>
      <c r="G8" s="13"/>
      <c r="H8" s="11"/>
    </row>
    <row r="9" spans="1:8" x14ac:dyDescent="0.3">
      <c r="A9">
        <v>3</v>
      </c>
      <c r="B9" s="1" t="s">
        <v>181</v>
      </c>
      <c r="C9" s="1" t="s">
        <v>532</v>
      </c>
      <c r="D9" s="2" t="s">
        <v>193</v>
      </c>
      <c r="E9" s="1" t="s">
        <v>21</v>
      </c>
      <c r="F9" s="12">
        <v>32.619999999999997</v>
      </c>
      <c r="G9" s="13">
        <v>222</v>
      </c>
      <c r="H9" s="11">
        <f>F9*G9</f>
        <v>7241.6399999999994</v>
      </c>
    </row>
    <row r="10" spans="1:8" x14ac:dyDescent="0.3">
      <c r="A10">
        <v>4</v>
      </c>
      <c r="B10" s="1" t="s">
        <v>181</v>
      </c>
      <c r="C10" s="1" t="s">
        <v>533</v>
      </c>
      <c r="D10" s="2" t="s">
        <v>175</v>
      </c>
      <c r="E10" s="1" t="s">
        <v>26</v>
      </c>
      <c r="F10" s="12">
        <v>20.11</v>
      </c>
      <c r="G10" s="13">
        <v>3.81</v>
      </c>
      <c r="H10" s="11">
        <f>F10*G10</f>
        <v>76.619100000000003</v>
      </c>
    </row>
    <row r="11" spans="1:8" x14ac:dyDescent="0.3">
      <c r="A11">
        <v>4</v>
      </c>
      <c r="B11" s="1" t="s">
        <v>181</v>
      </c>
      <c r="C11" s="1" t="s">
        <v>533</v>
      </c>
      <c r="D11" s="2" t="s">
        <v>176</v>
      </c>
      <c r="E11" s="1" t="s">
        <v>26</v>
      </c>
      <c r="F11" s="12">
        <v>0.1</v>
      </c>
      <c r="G11" s="13">
        <v>0.73999999999999988</v>
      </c>
      <c r="H11" s="11">
        <f>F11*G11</f>
        <v>7.3999999999999996E-2</v>
      </c>
    </row>
    <row r="12" spans="1:8" x14ac:dyDescent="0.3">
      <c r="A12">
        <v>5</v>
      </c>
      <c r="B12" s="1" t="s">
        <v>181</v>
      </c>
      <c r="C12" s="1" t="s">
        <v>534</v>
      </c>
      <c r="D12" s="2" t="s">
        <v>194</v>
      </c>
      <c r="E12" s="1" t="s">
        <v>19</v>
      </c>
      <c r="F12" s="12">
        <v>0.1</v>
      </c>
      <c r="G12" s="13"/>
      <c r="H12" s="11"/>
    </row>
    <row r="13" spans="1:8" x14ac:dyDescent="0.3">
      <c r="A13">
        <v>5</v>
      </c>
      <c r="B13" s="1" t="s">
        <v>181</v>
      </c>
      <c r="C13" s="1" t="s">
        <v>534</v>
      </c>
      <c r="D13" s="2" t="s">
        <v>195</v>
      </c>
      <c r="E13" s="1" t="s">
        <v>19</v>
      </c>
      <c r="F13" s="12">
        <v>20.11</v>
      </c>
      <c r="G13" s="13"/>
      <c r="H13" s="11"/>
    </row>
    <row r="14" spans="1:8" x14ac:dyDescent="0.3">
      <c r="A14">
        <v>6</v>
      </c>
      <c r="B14" s="1" t="s">
        <v>181</v>
      </c>
      <c r="C14" s="1" t="s">
        <v>535</v>
      </c>
      <c r="D14" s="2" t="s">
        <v>196</v>
      </c>
      <c r="E14" s="1" t="s">
        <v>197</v>
      </c>
      <c r="F14" s="12">
        <v>5</v>
      </c>
      <c r="G14" s="13">
        <v>10.7</v>
      </c>
      <c r="H14" s="11">
        <f>F14*G14</f>
        <v>53.5</v>
      </c>
    </row>
    <row r="15" spans="1:8" ht="41.4" x14ac:dyDescent="0.3">
      <c r="A15">
        <v>6</v>
      </c>
      <c r="B15" s="1" t="s">
        <v>181</v>
      </c>
      <c r="C15" s="1" t="s">
        <v>535</v>
      </c>
      <c r="D15" s="2" t="s">
        <v>198</v>
      </c>
      <c r="E15" s="1" t="s">
        <v>44</v>
      </c>
      <c r="F15" s="12">
        <v>240</v>
      </c>
      <c r="G15" s="13">
        <v>1.29</v>
      </c>
      <c r="H15" s="11">
        <f>F15*G15</f>
        <v>309.60000000000002</v>
      </c>
    </row>
    <row r="16" spans="1:8" ht="27.6" x14ac:dyDescent="0.3">
      <c r="A16">
        <v>6</v>
      </c>
      <c r="B16" s="1" t="s">
        <v>181</v>
      </c>
      <c r="C16" s="1" t="s">
        <v>535</v>
      </c>
      <c r="D16" s="2" t="s">
        <v>199</v>
      </c>
      <c r="E16" s="1" t="s">
        <v>753</v>
      </c>
      <c r="F16" s="12">
        <v>2330</v>
      </c>
      <c r="G16" s="13">
        <v>9</v>
      </c>
      <c r="H16" s="11">
        <f>F16*G16</f>
        <v>20970</v>
      </c>
    </row>
    <row r="17" spans="1:8" ht="27.6" x14ac:dyDescent="0.3">
      <c r="A17">
        <v>6</v>
      </c>
      <c r="B17" s="1" t="s">
        <v>181</v>
      </c>
      <c r="C17" s="1" t="s">
        <v>535</v>
      </c>
      <c r="D17" s="2" t="s">
        <v>200</v>
      </c>
      <c r="E17" s="1" t="s">
        <v>753</v>
      </c>
      <c r="F17" s="12">
        <v>7065.0000000000009</v>
      </c>
      <c r="G17" s="13">
        <v>12.999999999999998</v>
      </c>
      <c r="H17" s="11">
        <f>F17*G17</f>
        <v>91845</v>
      </c>
    </row>
    <row r="18" spans="1:8" ht="27.6" x14ac:dyDescent="0.3">
      <c r="A18">
        <v>6</v>
      </c>
      <c r="B18" s="1" t="s">
        <v>181</v>
      </c>
      <c r="C18" s="1" t="s">
        <v>535</v>
      </c>
      <c r="D18" s="2" t="s">
        <v>201</v>
      </c>
      <c r="E18" s="1" t="s">
        <v>753</v>
      </c>
      <c r="F18" s="12">
        <v>315</v>
      </c>
      <c r="G18" s="13">
        <v>8.35</v>
      </c>
      <c r="H18" s="11">
        <f>F18*G18</f>
        <v>2630.25</v>
      </c>
    </row>
    <row r="19" spans="1:8" x14ac:dyDescent="0.3">
      <c r="A19">
        <v>7</v>
      </c>
      <c r="B19" s="1" t="s">
        <v>181</v>
      </c>
      <c r="C19" s="1" t="s">
        <v>536</v>
      </c>
      <c r="D19" s="2" t="s">
        <v>176</v>
      </c>
      <c r="E19" s="1" t="s">
        <v>26</v>
      </c>
      <c r="F19" s="12">
        <v>0.191</v>
      </c>
      <c r="G19" s="13">
        <v>0.74</v>
      </c>
      <c r="H19" s="11">
        <f>F19*G19</f>
        <v>0.14133999999999999</v>
      </c>
    </row>
    <row r="20" spans="1:8" x14ac:dyDescent="0.3">
      <c r="A20">
        <v>7</v>
      </c>
      <c r="B20" s="1" t="s">
        <v>181</v>
      </c>
      <c r="C20" s="1" t="s">
        <v>536</v>
      </c>
      <c r="D20" s="2" t="s">
        <v>175</v>
      </c>
      <c r="E20" s="1" t="s">
        <v>26</v>
      </c>
      <c r="F20" s="12">
        <v>13.6</v>
      </c>
      <c r="G20" s="13">
        <v>3.8100000000000005</v>
      </c>
      <c r="H20" s="11">
        <f>F20*G20</f>
        <v>51.816000000000003</v>
      </c>
    </row>
    <row r="21" spans="1:8" x14ac:dyDescent="0.3">
      <c r="A21">
        <v>8</v>
      </c>
      <c r="B21" s="1" t="s">
        <v>181</v>
      </c>
      <c r="C21" s="1" t="s">
        <v>537</v>
      </c>
      <c r="D21" s="2" t="s">
        <v>202</v>
      </c>
      <c r="E21" s="1" t="s">
        <v>19</v>
      </c>
      <c r="F21" s="12">
        <v>13.6</v>
      </c>
      <c r="G21" s="13"/>
      <c r="H21" s="11"/>
    </row>
    <row r="22" spans="1:8" x14ac:dyDescent="0.3">
      <c r="A22">
        <v>8</v>
      </c>
      <c r="B22" s="1" t="s">
        <v>181</v>
      </c>
      <c r="C22" s="1" t="s">
        <v>537</v>
      </c>
      <c r="D22" s="2" t="s">
        <v>194</v>
      </c>
      <c r="E22" s="1" t="s">
        <v>19</v>
      </c>
      <c r="F22" s="12">
        <v>0.191</v>
      </c>
      <c r="G22" s="13"/>
      <c r="H22" s="11"/>
    </row>
  </sheetData>
  <autoFilter ref="A1:G22" xr:uid="{935A9225-572B-4851-B19F-A213D964F108}"/>
  <conditionalFormatting sqref="B2:G22">
    <cfRule type="expression" dxfId="78" priority="1">
      <formula>$I2&gt;0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792D3-02B9-49CF-BC3B-1212EC51F4D8}">
  <sheetPr codeName="Лист16">
    <tabColor rgb="FF00B050"/>
  </sheetPr>
  <dimension ref="A1:H64"/>
  <sheetViews>
    <sheetView topLeftCell="A316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1</v>
      </c>
      <c r="B2" s="1" t="s">
        <v>203</v>
      </c>
      <c r="C2" s="1" t="s">
        <v>538</v>
      </c>
      <c r="D2" s="2" t="s">
        <v>204</v>
      </c>
      <c r="E2" s="1" t="s">
        <v>163</v>
      </c>
      <c r="F2" s="12">
        <v>28</v>
      </c>
      <c r="G2" s="12">
        <v>5.33</v>
      </c>
      <c r="H2" s="11">
        <f>F2*G2</f>
        <v>149.24</v>
      </c>
    </row>
    <row r="3" spans="1:8" ht="27.6" x14ac:dyDescent="0.3">
      <c r="A3">
        <v>1</v>
      </c>
      <c r="B3" s="1" t="s">
        <v>203</v>
      </c>
      <c r="C3" s="1" t="s">
        <v>538</v>
      </c>
      <c r="D3" s="2" t="s">
        <v>205</v>
      </c>
      <c r="E3" s="1" t="s">
        <v>163</v>
      </c>
      <c r="F3" s="12">
        <v>9</v>
      </c>
      <c r="G3" s="12">
        <v>5.33</v>
      </c>
      <c r="H3" s="11">
        <f>F3*G3</f>
        <v>47.97</v>
      </c>
    </row>
    <row r="4" spans="1:8" ht="41.4" x14ac:dyDescent="0.3">
      <c r="A4">
        <v>1</v>
      </c>
      <c r="B4" s="1" t="s">
        <v>203</v>
      </c>
      <c r="C4" s="1" t="s">
        <v>538</v>
      </c>
      <c r="D4" s="2" t="s">
        <v>206</v>
      </c>
      <c r="E4" s="1" t="s">
        <v>163</v>
      </c>
      <c r="F4" s="12">
        <v>1</v>
      </c>
      <c r="G4" s="12">
        <v>9.64</v>
      </c>
      <c r="H4" s="11">
        <f>F4*G4</f>
        <v>9.64</v>
      </c>
    </row>
    <row r="5" spans="1:8" ht="41.4" x14ac:dyDescent="0.3">
      <c r="A5">
        <v>1</v>
      </c>
      <c r="B5" s="1" t="s">
        <v>203</v>
      </c>
      <c r="C5" s="1" t="s">
        <v>538</v>
      </c>
      <c r="D5" s="2" t="s">
        <v>207</v>
      </c>
      <c r="E5" s="1" t="s">
        <v>163</v>
      </c>
      <c r="F5" s="12">
        <v>8</v>
      </c>
      <c r="G5" s="12">
        <v>9.64</v>
      </c>
      <c r="H5" s="11">
        <f>F5*G5</f>
        <v>77.12</v>
      </c>
    </row>
    <row r="6" spans="1:8" ht="27.6" x14ac:dyDescent="0.3">
      <c r="A6">
        <v>1</v>
      </c>
      <c r="B6" s="1" t="s">
        <v>203</v>
      </c>
      <c r="C6" s="1" t="s">
        <v>538</v>
      </c>
      <c r="D6" s="2" t="s">
        <v>208</v>
      </c>
      <c r="E6" s="1" t="s">
        <v>173</v>
      </c>
      <c r="F6" s="12">
        <v>8</v>
      </c>
      <c r="G6" s="12">
        <v>8.99</v>
      </c>
      <c r="H6" s="11">
        <f>F6*G6</f>
        <v>71.92</v>
      </c>
    </row>
    <row r="7" spans="1:8" ht="41.4" x14ac:dyDescent="0.3">
      <c r="A7">
        <v>1</v>
      </c>
      <c r="B7" s="1" t="s">
        <v>203</v>
      </c>
      <c r="C7" s="1" t="s">
        <v>538</v>
      </c>
      <c r="D7" s="2" t="s">
        <v>209</v>
      </c>
      <c r="E7" s="1" t="s">
        <v>163</v>
      </c>
      <c r="F7" s="12">
        <v>1</v>
      </c>
      <c r="G7" s="12">
        <v>9.64</v>
      </c>
      <c r="H7" s="11">
        <f>F7*G7</f>
        <v>9.64</v>
      </c>
    </row>
    <row r="8" spans="1:8" x14ac:dyDescent="0.3">
      <c r="A8">
        <v>1</v>
      </c>
      <c r="B8" s="1" t="s">
        <v>203</v>
      </c>
      <c r="C8" s="1" t="s">
        <v>538</v>
      </c>
      <c r="D8" s="2" t="s">
        <v>210</v>
      </c>
      <c r="E8" s="1" t="s">
        <v>173</v>
      </c>
      <c r="F8" s="12">
        <v>1</v>
      </c>
      <c r="G8" s="12">
        <v>8.99</v>
      </c>
      <c r="H8" s="11">
        <f>F8*G8</f>
        <v>8.99</v>
      </c>
    </row>
    <row r="9" spans="1:8" ht="55.2" x14ac:dyDescent="0.3">
      <c r="A9">
        <v>1</v>
      </c>
      <c r="B9" s="1" t="s">
        <v>203</v>
      </c>
      <c r="C9" s="1" t="s">
        <v>538</v>
      </c>
      <c r="D9" s="2" t="s">
        <v>211</v>
      </c>
      <c r="E9" s="1" t="s">
        <v>163</v>
      </c>
      <c r="F9" s="12">
        <v>1</v>
      </c>
      <c r="G9" s="12">
        <v>9.64</v>
      </c>
      <c r="H9" s="11">
        <f>F9*G9</f>
        <v>9.64</v>
      </c>
    </row>
    <row r="10" spans="1:8" ht="27.6" x14ac:dyDescent="0.3">
      <c r="A10">
        <v>1</v>
      </c>
      <c r="B10" s="1" t="s">
        <v>203</v>
      </c>
      <c r="C10" s="1" t="s">
        <v>538</v>
      </c>
      <c r="D10" s="2" t="s">
        <v>212</v>
      </c>
      <c r="E10" s="1" t="s">
        <v>173</v>
      </c>
      <c r="F10" s="12">
        <v>1</v>
      </c>
      <c r="G10" s="12">
        <v>8.99</v>
      </c>
      <c r="H10" s="11">
        <f>F10*G10</f>
        <v>8.99</v>
      </c>
    </row>
    <row r="11" spans="1:8" ht="41.4" x14ac:dyDescent="0.3">
      <c r="A11">
        <v>1</v>
      </c>
      <c r="B11" s="1" t="s">
        <v>203</v>
      </c>
      <c r="C11" s="1" t="s">
        <v>538</v>
      </c>
      <c r="D11" s="2" t="s">
        <v>213</v>
      </c>
      <c r="E11" s="1" t="s">
        <v>163</v>
      </c>
      <c r="F11" s="12">
        <v>9</v>
      </c>
      <c r="G11" s="12">
        <v>13.79</v>
      </c>
      <c r="H11" s="11">
        <f>F11*G11</f>
        <v>124.10999999999999</v>
      </c>
    </row>
    <row r="12" spans="1:8" ht="41.4" x14ac:dyDescent="0.3">
      <c r="A12">
        <v>1</v>
      </c>
      <c r="B12" s="1" t="s">
        <v>203</v>
      </c>
      <c r="C12" s="1" t="s">
        <v>538</v>
      </c>
      <c r="D12" s="2" t="s">
        <v>214</v>
      </c>
      <c r="E12" s="1" t="s">
        <v>163</v>
      </c>
      <c r="F12" s="12">
        <v>1</v>
      </c>
      <c r="G12" s="12">
        <v>9.64</v>
      </c>
      <c r="H12" s="11">
        <f>F12*G12</f>
        <v>9.64</v>
      </c>
    </row>
    <row r="13" spans="1:8" ht="41.4" x14ac:dyDescent="0.3">
      <c r="A13">
        <v>1</v>
      </c>
      <c r="B13" s="1" t="s">
        <v>203</v>
      </c>
      <c r="C13" s="1" t="s">
        <v>538</v>
      </c>
      <c r="D13" s="2" t="s">
        <v>215</v>
      </c>
      <c r="E13" s="1" t="s">
        <v>163</v>
      </c>
      <c r="F13" s="12">
        <v>1</v>
      </c>
      <c r="G13" s="12">
        <v>13.79</v>
      </c>
      <c r="H13" s="11">
        <f>F13*G13</f>
        <v>13.79</v>
      </c>
    </row>
    <row r="14" spans="1:8" ht="41.4" x14ac:dyDescent="0.3">
      <c r="A14">
        <v>1</v>
      </c>
      <c r="B14" s="1" t="s">
        <v>203</v>
      </c>
      <c r="C14" s="1" t="s">
        <v>538</v>
      </c>
      <c r="D14" s="2" t="s">
        <v>216</v>
      </c>
      <c r="E14" s="1" t="s">
        <v>163</v>
      </c>
      <c r="F14" s="12">
        <v>6</v>
      </c>
      <c r="G14" s="12">
        <v>5.33</v>
      </c>
      <c r="H14" s="11">
        <f>F14*G14</f>
        <v>31.98</v>
      </c>
    </row>
    <row r="15" spans="1:8" ht="41.4" x14ac:dyDescent="0.3">
      <c r="A15">
        <v>1</v>
      </c>
      <c r="B15" s="1" t="s">
        <v>203</v>
      </c>
      <c r="C15" s="1" t="s">
        <v>538</v>
      </c>
      <c r="D15" s="2" t="s">
        <v>217</v>
      </c>
      <c r="E15" s="1" t="s">
        <v>163</v>
      </c>
      <c r="F15" s="12">
        <v>1</v>
      </c>
      <c r="G15" s="12">
        <v>5.33</v>
      </c>
      <c r="H15" s="11">
        <f>F15*G15</f>
        <v>5.33</v>
      </c>
    </row>
    <row r="16" spans="1:8" ht="41.4" x14ac:dyDescent="0.3">
      <c r="A16">
        <v>1</v>
      </c>
      <c r="B16" s="1" t="s">
        <v>203</v>
      </c>
      <c r="C16" s="1" t="s">
        <v>538</v>
      </c>
      <c r="D16" s="2" t="s">
        <v>218</v>
      </c>
      <c r="E16" s="1" t="s">
        <v>163</v>
      </c>
      <c r="F16" s="12">
        <v>1</v>
      </c>
      <c r="G16" s="12">
        <v>5.33</v>
      </c>
      <c r="H16" s="11">
        <f>F16*G16</f>
        <v>5.33</v>
      </c>
    </row>
    <row r="17" spans="1:8" ht="41.4" x14ac:dyDescent="0.3">
      <c r="A17">
        <v>1</v>
      </c>
      <c r="B17" s="1" t="s">
        <v>203</v>
      </c>
      <c r="C17" s="1" t="s">
        <v>538</v>
      </c>
      <c r="D17" s="2" t="s">
        <v>219</v>
      </c>
      <c r="E17" s="1" t="s">
        <v>163</v>
      </c>
      <c r="F17" s="12">
        <v>1</v>
      </c>
      <c r="G17" s="12">
        <v>5.33</v>
      </c>
      <c r="H17" s="11">
        <f>F17*G17</f>
        <v>5.33</v>
      </c>
    </row>
    <row r="18" spans="1:8" ht="27.6" x14ac:dyDescent="0.3">
      <c r="A18">
        <v>1</v>
      </c>
      <c r="B18" s="1" t="s">
        <v>203</v>
      </c>
      <c r="C18" s="1" t="s">
        <v>538</v>
      </c>
      <c r="D18" s="2" t="s">
        <v>220</v>
      </c>
      <c r="E18" s="1" t="s">
        <v>163</v>
      </c>
      <c r="F18" s="12">
        <v>1</v>
      </c>
      <c r="G18" s="12">
        <v>7.7119999999999997</v>
      </c>
      <c r="H18" s="11">
        <f>F18*G18</f>
        <v>7.7119999999999997</v>
      </c>
    </row>
    <row r="19" spans="1:8" x14ac:dyDescent="0.3">
      <c r="A19">
        <v>1</v>
      </c>
      <c r="B19" s="1" t="s">
        <v>203</v>
      </c>
      <c r="C19" s="1" t="s">
        <v>538</v>
      </c>
      <c r="D19" s="2" t="s">
        <v>221</v>
      </c>
      <c r="E19" s="1" t="s">
        <v>173</v>
      </c>
      <c r="F19" s="12">
        <v>1</v>
      </c>
      <c r="G19" s="12">
        <v>6.2930000000000001</v>
      </c>
      <c r="H19" s="11">
        <f>F19*G19</f>
        <v>6.2930000000000001</v>
      </c>
    </row>
    <row r="20" spans="1:8" x14ac:dyDescent="0.3">
      <c r="A20">
        <v>1</v>
      </c>
      <c r="B20" s="1" t="s">
        <v>203</v>
      </c>
      <c r="C20" s="1" t="s">
        <v>538</v>
      </c>
      <c r="D20" s="2" t="s">
        <v>222</v>
      </c>
      <c r="E20" s="1" t="s">
        <v>163</v>
      </c>
      <c r="F20" s="12">
        <v>1</v>
      </c>
      <c r="G20" s="12">
        <v>7.7119999999999997</v>
      </c>
      <c r="H20" s="11">
        <f>F20*G20</f>
        <v>7.7119999999999997</v>
      </c>
    </row>
    <row r="21" spans="1:8" x14ac:dyDescent="0.3">
      <c r="A21">
        <v>1</v>
      </c>
      <c r="B21" s="1" t="s">
        <v>203</v>
      </c>
      <c r="C21" s="1" t="s">
        <v>538</v>
      </c>
      <c r="D21" s="2" t="s">
        <v>223</v>
      </c>
      <c r="E21" s="1" t="s">
        <v>173</v>
      </c>
      <c r="F21" s="12">
        <v>1</v>
      </c>
      <c r="G21" s="12">
        <v>6.2930000000000001</v>
      </c>
      <c r="H21" s="11">
        <f>F21*G21</f>
        <v>6.2930000000000001</v>
      </c>
    </row>
    <row r="22" spans="1:8" ht="27.6" x14ac:dyDescent="0.3">
      <c r="A22">
        <v>1</v>
      </c>
      <c r="B22" s="1" t="s">
        <v>203</v>
      </c>
      <c r="C22" s="1" t="s">
        <v>538</v>
      </c>
      <c r="D22" s="2" t="s">
        <v>224</v>
      </c>
      <c r="E22" s="1" t="s">
        <v>163</v>
      </c>
      <c r="F22" s="12">
        <v>1</v>
      </c>
      <c r="G22" s="12">
        <v>7.7119999999999997</v>
      </c>
      <c r="H22" s="11">
        <f>F22*G22</f>
        <v>7.7119999999999997</v>
      </c>
    </row>
    <row r="23" spans="1:8" ht="27.6" x14ac:dyDescent="0.3">
      <c r="A23">
        <v>1</v>
      </c>
      <c r="B23" s="1" t="s">
        <v>203</v>
      </c>
      <c r="C23" s="1" t="s">
        <v>538</v>
      </c>
      <c r="D23" s="2" t="s">
        <v>225</v>
      </c>
      <c r="E23" s="1" t="s">
        <v>173</v>
      </c>
      <c r="F23" s="12">
        <v>1</v>
      </c>
      <c r="G23" s="12">
        <v>6.2930000000000001</v>
      </c>
      <c r="H23" s="11">
        <f>F23*G23</f>
        <v>6.2930000000000001</v>
      </c>
    </row>
    <row r="24" spans="1:8" ht="55.2" x14ac:dyDescent="0.3">
      <c r="A24">
        <v>1</v>
      </c>
      <c r="B24" s="1" t="s">
        <v>203</v>
      </c>
      <c r="C24" s="1" t="s">
        <v>538</v>
      </c>
      <c r="D24" s="2" t="s">
        <v>226</v>
      </c>
      <c r="E24" s="1" t="s">
        <v>163</v>
      </c>
      <c r="F24" s="12">
        <v>1</v>
      </c>
      <c r="G24" s="12">
        <v>9.64</v>
      </c>
      <c r="H24" s="11">
        <f>F24*G24</f>
        <v>9.64</v>
      </c>
    </row>
    <row r="25" spans="1:8" ht="27.6" x14ac:dyDescent="0.3">
      <c r="A25">
        <v>1</v>
      </c>
      <c r="B25" s="1" t="s">
        <v>203</v>
      </c>
      <c r="C25" s="1" t="s">
        <v>538</v>
      </c>
      <c r="D25" s="2" t="s">
        <v>227</v>
      </c>
      <c r="E25" s="1" t="s">
        <v>173</v>
      </c>
      <c r="F25" s="12">
        <v>1</v>
      </c>
      <c r="G25" s="12">
        <v>8.99</v>
      </c>
      <c r="H25" s="11">
        <f>F25*G25</f>
        <v>8.99</v>
      </c>
    </row>
    <row r="26" spans="1:8" ht="41.4" x14ac:dyDescent="0.3">
      <c r="A26">
        <v>1</v>
      </c>
      <c r="B26" s="1" t="s">
        <v>203</v>
      </c>
      <c r="C26" s="1" t="s">
        <v>538</v>
      </c>
      <c r="D26" s="2" t="s">
        <v>228</v>
      </c>
      <c r="E26" s="1" t="s">
        <v>163</v>
      </c>
      <c r="F26" s="12">
        <v>1</v>
      </c>
      <c r="G26" s="12">
        <v>9.64</v>
      </c>
      <c r="H26" s="11">
        <f>F26*G26</f>
        <v>9.64</v>
      </c>
    </row>
    <row r="27" spans="1:8" ht="27.6" x14ac:dyDescent="0.3">
      <c r="A27">
        <v>1</v>
      </c>
      <c r="B27" s="1" t="s">
        <v>203</v>
      </c>
      <c r="C27" s="1" t="s">
        <v>538</v>
      </c>
      <c r="D27" s="2" t="s">
        <v>229</v>
      </c>
      <c r="E27" s="1" t="s">
        <v>173</v>
      </c>
      <c r="F27" s="12">
        <v>1</v>
      </c>
      <c r="G27" s="12">
        <v>8.99</v>
      </c>
      <c r="H27" s="11">
        <f>F27*G27</f>
        <v>8.99</v>
      </c>
    </row>
    <row r="28" spans="1:8" ht="55.2" x14ac:dyDescent="0.3">
      <c r="A28">
        <v>1</v>
      </c>
      <c r="B28" s="1" t="s">
        <v>203</v>
      </c>
      <c r="C28" s="1" t="s">
        <v>538</v>
      </c>
      <c r="D28" s="2" t="s">
        <v>230</v>
      </c>
      <c r="E28" s="1" t="s">
        <v>163</v>
      </c>
      <c r="F28" s="12">
        <v>1</v>
      </c>
      <c r="G28" s="12">
        <v>9.64</v>
      </c>
      <c r="H28" s="11">
        <f>F28*G28</f>
        <v>9.64</v>
      </c>
    </row>
    <row r="29" spans="1:8" ht="27.6" x14ac:dyDescent="0.3">
      <c r="A29">
        <v>1</v>
      </c>
      <c r="B29" s="1" t="s">
        <v>203</v>
      </c>
      <c r="C29" s="1" t="s">
        <v>538</v>
      </c>
      <c r="D29" s="2" t="s">
        <v>231</v>
      </c>
      <c r="E29" s="1" t="s">
        <v>173</v>
      </c>
      <c r="F29" s="12">
        <v>1</v>
      </c>
      <c r="G29" s="12">
        <v>8.99</v>
      </c>
      <c r="H29" s="11">
        <f>F29*G29</f>
        <v>8.99</v>
      </c>
    </row>
    <row r="30" spans="1:8" x14ac:dyDescent="0.3">
      <c r="A30">
        <v>1</v>
      </c>
      <c r="B30" s="1" t="s">
        <v>203</v>
      </c>
      <c r="C30" s="1" t="s">
        <v>538</v>
      </c>
      <c r="D30" s="2" t="s">
        <v>232</v>
      </c>
      <c r="E30" s="1" t="s">
        <v>163</v>
      </c>
      <c r="F30" s="12">
        <v>71</v>
      </c>
      <c r="G30" s="12">
        <v>0.51</v>
      </c>
      <c r="H30" s="11">
        <f>F30*G30</f>
        <v>36.21</v>
      </c>
    </row>
    <row r="31" spans="1:8" x14ac:dyDescent="0.3">
      <c r="A31">
        <v>1</v>
      </c>
      <c r="B31" s="1" t="s">
        <v>203</v>
      </c>
      <c r="C31" s="1" t="s">
        <v>538</v>
      </c>
      <c r="D31" s="2" t="s">
        <v>233</v>
      </c>
      <c r="E31" s="1" t="s">
        <v>163</v>
      </c>
      <c r="F31" s="12">
        <v>97</v>
      </c>
      <c r="G31" s="12">
        <v>0.48000000000000004</v>
      </c>
      <c r="H31" s="11">
        <f>F31*G31</f>
        <v>46.56</v>
      </c>
    </row>
    <row r="32" spans="1:8" ht="27.6" x14ac:dyDescent="0.3">
      <c r="A32">
        <v>1</v>
      </c>
      <c r="B32" s="1" t="s">
        <v>203</v>
      </c>
      <c r="C32" s="1" t="s">
        <v>538</v>
      </c>
      <c r="D32" s="2" t="s">
        <v>234</v>
      </c>
      <c r="E32" s="1" t="s">
        <v>163</v>
      </c>
      <c r="F32" s="12">
        <v>6</v>
      </c>
      <c r="G32" s="12">
        <v>0.51</v>
      </c>
      <c r="H32" s="11">
        <f>F32*G32</f>
        <v>3.06</v>
      </c>
    </row>
    <row r="33" spans="1:8" ht="27.6" x14ac:dyDescent="0.3">
      <c r="A33">
        <v>1</v>
      </c>
      <c r="B33" s="1" t="s">
        <v>203</v>
      </c>
      <c r="C33" s="1" t="s">
        <v>538</v>
      </c>
      <c r="D33" s="2" t="s">
        <v>235</v>
      </c>
      <c r="E33" s="1" t="s">
        <v>163</v>
      </c>
      <c r="F33" s="12">
        <v>3</v>
      </c>
      <c r="G33" s="12">
        <v>0.48</v>
      </c>
      <c r="H33" s="11">
        <f>F33*G33</f>
        <v>1.44</v>
      </c>
    </row>
    <row r="34" spans="1:8" ht="27.6" x14ac:dyDescent="0.3">
      <c r="A34">
        <v>1</v>
      </c>
      <c r="B34" s="1" t="s">
        <v>203</v>
      </c>
      <c r="C34" s="1" t="s">
        <v>538</v>
      </c>
      <c r="D34" s="2" t="s">
        <v>236</v>
      </c>
      <c r="E34" s="1" t="s">
        <v>106</v>
      </c>
      <c r="F34" s="12">
        <v>343</v>
      </c>
      <c r="G34" s="12">
        <v>60</v>
      </c>
      <c r="H34" s="11">
        <f>F34*G34</f>
        <v>20580</v>
      </c>
    </row>
    <row r="35" spans="1:8" ht="27.6" x14ac:dyDescent="0.3">
      <c r="A35">
        <v>1</v>
      </c>
      <c r="B35" s="1" t="s">
        <v>203</v>
      </c>
      <c r="C35" s="1" t="s">
        <v>538</v>
      </c>
      <c r="D35" s="2" t="s">
        <v>237</v>
      </c>
      <c r="E35" s="1" t="s">
        <v>21</v>
      </c>
      <c r="F35" s="12">
        <v>102</v>
      </c>
      <c r="G35" s="12">
        <v>2.67</v>
      </c>
      <c r="H35" s="11">
        <f>F35*G35</f>
        <v>272.33999999999997</v>
      </c>
    </row>
    <row r="36" spans="1:8" ht="27.6" x14ac:dyDescent="0.3">
      <c r="A36">
        <v>1</v>
      </c>
      <c r="B36" s="1" t="s">
        <v>203</v>
      </c>
      <c r="C36" s="1" t="s">
        <v>538</v>
      </c>
      <c r="D36" s="2" t="s">
        <v>204</v>
      </c>
      <c r="E36" s="1" t="s">
        <v>163</v>
      </c>
      <c r="F36" s="12">
        <v>30</v>
      </c>
      <c r="G36" s="12">
        <v>5.33</v>
      </c>
      <c r="H36" s="11">
        <f>F36*G36</f>
        <v>159.9</v>
      </c>
    </row>
    <row r="37" spans="1:8" ht="41.4" x14ac:dyDescent="0.3">
      <c r="A37">
        <v>1</v>
      </c>
      <c r="B37" s="1" t="s">
        <v>203</v>
      </c>
      <c r="C37" s="1" t="s">
        <v>538</v>
      </c>
      <c r="D37" s="2" t="s">
        <v>238</v>
      </c>
      <c r="E37" s="1" t="s">
        <v>163</v>
      </c>
      <c r="F37" s="12">
        <v>1</v>
      </c>
      <c r="G37" s="12">
        <v>5.33</v>
      </c>
      <c r="H37" s="11">
        <f>F37*G37</f>
        <v>5.33</v>
      </c>
    </row>
    <row r="38" spans="1:8" ht="27.6" x14ac:dyDescent="0.3">
      <c r="A38">
        <v>1</v>
      </c>
      <c r="B38" s="1" t="s">
        <v>203</v>
      </c>
      <c r="C38" s="1" t="s">
        <v>538</v>
      </c>
      <c r="D38" s="2" t="s">
        <v>239</v>
      </c>
      <c r="E38" s="1" t="s">
        <v>173</v>
      </c>
      <c r="F38" s="12">
        <v>1</v>
      </c>
      <c r="G38" s="12">
        <v>8.99</v>
      </c>
      <c r="H38" s="11">
        <f>F38*G38</f>
        <v>8.99</v>
      </c>
    </row>
    <row r="39" spans="1:8" ht="41.4" x14ac:dyDescent="0.3">
      <c r="A39">
        <v>1</v>
      </c>
      <c r="B39" s="1" t="s">
        <v>203</v>
      </c>
      <c r="C39" s="1" t="s">
        <v>538</v>
      </c>
      <c r="D39" s="2" t="s">
        <v>240</v>
      </c>
      <c r="E39" s="1" t="s">
        <v>163</v>
      </c>
      <c r="F39" s="12">
        <v>1</v>
      </c>
      <c r="G39" s="12">
        <v>5.33</v>
      </c>
      <c r="H39" s="11">
        <f>F39*G39</f>
        <v>5.33</v>
      </c>
    </row>
    <row r="40" spans="1:8" x14ac:dyDescent="0.3">
      <c r="A40">
        <v>1</v>
      </c>
      <c r="B40" s="1" t="s">
        <v>203</v>
      </c>
      <c r="C40" s="1" t="s">
        <v>538</v>
      </c>
      <c r="D40" s="2" t="s">
        <v>241</v>
      </c>
      <c r="E40" s="1" t="s">
        <v>173</v>
      </c>
      <c r="F40" s="12">
        <v>1</v>
      </c>
      <c r="G40" s="12">
        <v>8.99</v>
      </c>
      <c r="H40" s="11">
        <f>F40*G40</f>
        <v>8.99</v>
      </c>
    </row>
    <row r="41" spans="1:8" ht="27.6" x14ac:dyDescent="0.3">
      <c r="A41">
        <v>1</v>
      </c>
      <c r="B41" s="1" t="s">
        <v>203</v>
      </c>
      <c r="C41" s="1" t="s">
        <v>538</v>
      </c>
      <c r="D41" s="2" t="s">
        <v>205</v>
      </c>
      <c r="E41" s="1" t="s">
        <v>163</v>
      </c>
      <c r="F41" s="12">
        <v>4</v>
      </c>
      <c r="G41" s="12">
        <v>5.33</v>
      </c>
      <c r="H41" s="11">
        <f>F41*G41</f>
        <v>21.32</v>
      </c>
    </row>
    <row r="42" spans="1:8" ht="41.4" x14ac:dyDescent="0.3">
      <c r="A42">
        <v>1</v>
      </c>
      <c r="B42" s="1" t="s">
        <v>203</v>
      </c>
      <c r="C42" s="1" t="s">
        <v>538</v>
      </c>
      <c r="D42" s="2" t="s">
        <v>206</v>
      </c>
      <c r="E42" s="1" t="s">
        <v>163</v>
      </c>
      <c r="F42" s="12">
        <v>1</v>
      </c>
      <c r="G42" s="12">
        <v>2.2599999999999998</v>
      </c>
      <c r="H42" s="11">
        <f>F42*G42</f>
        <v>2.2599999999999998</v>
      </c>
    </row>
    <row r="43" spans="1:8" ht="41.4" x14ac:dyDescent="0.3">
      <c r="A43">
        <v>1</v>
      </c>
      <c r="B43" s="1" t="s">
        <v>203</v>
      </c>
      <c r="C43" s="1" t="s">
        <v>538</v>
      </c>
      <c r="D43" s="2" t="s">
        <v>207</v>
      </c>
      <c r="E43" s="1" t="s">
        <v>163</v>
      </c>
      <c r="F43" s="12">
        <v>2</v>
      </c>
      <c r="G43" s="12">
        <v>9.64</v>
      </c>
      <c r="H43" s="11">
        <f>F43*G43</f>
        <v>19.28</v>
      </c>
    </row>
    <row r="44" spans="1:8" ht="27.6" x14ac:dyDescent="0.3">
      <c r="A44">
        <v>1</v>
      </c>
      <c r="B44" s="1" t="s">
        <v>203</v>
      </c>
      <c r="C44" s="1" t="s">
        <v>538</v>
      </c>
      <c r="D44" s="2" t="s">
        <v>208</v>
      </c>
      <c r="E44" s="1" t="s">
        <v>173</v>
      </c>
      <c r="F44" s="12">
        <v>2</v>
      </c>
      <c r="G44" s="12">
        <v>8.99</v>
      </c>
      <c r="H44" s="11">
        <f>F44*G44</f>
        <v>17.98</v>
      </c>
    </row>
    <row r="45" spans="1:8" ht="41.4" x14ac:dyDescent="0.3">
      <c r="A45">
        <v>1</v>
      </c>
      <c r="B45" s="1" t="s">
        <v>203</v>
      </c>
      <c r="C45" s="1" t="s">
        <v>538</v>
      </c>
      <c r="D45" s="2" t="s">
        <v>209</v>
      </c>
      <c r="E45" s="1" t="s">
        <v>163</v>
      </c>
      <c r="F45" s="12">
        <v>2</v>
      </c>
      <c r="G45" s="12">
        <v>9.64</v>
      </c>
      <c r="H45" s="11">
        <f>F45*G45</f>
        <v>19.28</v>
      </c>
    </row>
    <row r="46" spans="1:8" x14ac:dyDescent="0.3">
      <c r="A46">
        <v>1</v>
      </c>
      <c r="B46" s="1" t="s">
        <v>203</v>
      </c>
      <c r="C46" s="1" t="s">
        <v>538</v>
      </c>
      <c r="D46" s="2" t="s">
        <v>210</v>
      </c>
      <c r="E46" s="1" t="s">
        <v>173</v>
      </c>
      <c r="F46" s="12">
        <v>2</v>
      </c>
      <c r="G46" s="12">
        <v>0.37</v>
      </c>
      <c r="H46" s="11">
        <f>F46*G46</f>
        <v>0.74</v>
      </c>
    </row>
    <row r="47" spans="1:8" ht="55.2" x14ac:dyDescent="0.3">
      <c r="A47">
        <v>1</v>
      </c>
      <c r="B47" s="1" t="s">
        <v>203</v>
      </c>
      <c r="C47" s="1" t="s">
        <v>538</v>
      </c>
      <c r="D47" s="2" t="s">
        <v>211</v>
      </c>
      <c r="E47" s="1" t="s">
        <v>163</v>
      </c>
      <c r="F47" s="12">
        <v>1</v>
      </c>
      <c r="G47" s="12">
        <v>9.64</v>
      </c>
      <c r="H47" s="11">
        <f>F47*G47</f>
        <v>9.64</v>
      </c>
    </row>
    <row r="48" spans="1:8" ht="27.6" x14ac:dyDescent="0.3">
      <c r="A48">
        <v>1</v>
      </c>
      <c r="B48" s="1" t="s">
        <v>203</v>
      </c>
      <c r="C48" s="1" t="s">
        <v>538</v>
      </c>
      <c r="D48" s="2" t="s">
        <v>212</v>
      </c>
      <c r="E48" s="1" t="s">
        <v>173</v>
      </c>
      <c r="F48" s="12">
        <v>1</v>
      </c>
      <c r="G48" s="12">
        <v>8.99</v>
      </c>
      <c r="H48" s="11">
        <f>F48*G48</f>
        <v>8.99</v>
      </c>
    </row>
    <row r="49" spans="1:8" ht="41.4" x14ac:dyDescent="0.3">
      <c r="A49">
        <v>1</v>
      </c>
      <c r="B49" s="1" t="s">
        <v>203</v>
      </c>
      <c r="C49" s="1" t="s">
        <v>538</v>
      </c>
      <c r="D49" s="2" t="s">
        <v>213</v>
      </c>
      <c r="E49" s="1" t="s">
        <v>163</v>
      </c>
      <c r="F49" s="12">
        <v>10</v>
      </c>
      <c r="G49" s="12">
        <v>13.790000000000001</v>
      </c>
      <c r="H49" s="11">
        <f>F49*G49</f>
        <v>137.9</v>
      </c>
    </row>
    <row r="50" spans="1:8" ht="41.4" x14ac:dyDescent="0.3">
      <c r="A50">
        <v>1</v>
      </c>
      <c r="B50" s="1" t="s">
        <v>203</v>
      </c>
      <c r="C50" s="1" t="s">
        <v>538</v>
      </c>
      <c r="D50" s="2" t="s">
        <v>214</v>
      </c>
      <c r="E50" s="1" t="s">
        <v>163</v>
      </c>
      <c r="F50" s="12">
        <v>7</v>
      </c>
      <c r="G50" s="12">
        <v>9.64</v>
      </c>
      <c r="H50" s="11">
        <f>F50*G50</f>
        <v>67.48</v>
      </c>
    </row>
    <row r="51" spans="1:8" ht="41.4" x14ac:dyDescent="0.3">
      <c r="A51">
        <v>1</v>
      </c>
      <c r="B51" s="1" t="s">
        <v>203</v>
      </c>
      <c r="C51" s="1" t="s">
        <v>538</v>
      </c>
      <c r="D51" s="2" t="s">
        <v>216</v>
      </c>
      <c r="E51" s="1" t="s">
        <v>163</v>
      </c>
      <c r="F51" s="12">
        <v>6</v>
      </c>
      <c r="G51" s="12">
        <v>5.33</v>
      </c>
      <c r="H51" s="11">
        <f>F51*G51</f>
        <v>31.98</v>
      </c>
    </row>
    <row r="52" spans="1:8" x14ac:dyDescent="0.3">
      <c r="A52">
        <v>1</v>
      </c>
      <c r="B52" s="1" t="s">
        <v>203</v>
      </c>
      <c r="C52" s="1" t="s">
        <v>538</v>
      </c>
      <c r="D52" s="2" t="s">
        <v>232</v>
      </c>
      <c r="E52" s="1" t="s">
        <v>163</v>
      </c>
      <c r="F52" s="12">
        <v>65</v>
      </c>
      <c r="G52" s="12">
        <v>0.51</v>
      </c>
      <c r="H52" s="11">
        <f>F52*G52</f>
        <v>33.15</v>
      </c>
    </row>
    <row r="53" spans="1:8" x14ac:dyDescent="0.3">
      <c r="A53">
        <v>1</v>
      </c>
      <c r="B53" s="1" t="s">
        <v>203</v>
      </c>
      <c r="C53" s="1" t="s">
        <v>538</v>
      </c>
      <c r="D53" s="2" t="s">
        <v>233</v>
      </c>
      <c r="E53" s="1" t="s">
        <v>163</v>
      </c>
      <c r="F53" s="12">
        <v>92</v>
      </c>
      <c r="G53" s="12">
        <v>0.51</v>
      </c>
      <c r="H53" s="11">
        <f>F53*G53</f>
        <v>46.92</v>
      </c>
    </row>
    <row r="54" spans="1:8" ht="27.6" x14ac:dyDescent="0.3">
      <c r="A54">
        <v>1</v>
      </c>
      <c r="B54" s="1" t="s">
        <v>203</v>
      </c>
      <c r="C54" s="1" t="s">
        <v>538</v>
      </c>
      <c r="D54" s="2" t="s">
        <v>234</v>
      </c>
      <c r="E54" s="1" t="s">
        <v>163</v>
      </c>
      <c r="F54" s="12">
        <v>6</v>
      </c>
      <c r="G54" s="12">
        <v>0.51</v>
      </c>
      <c r="H54" s="11">
        <f>F54*G54</f>
        <v>3.06</v>
      </c>
    </row>
    <row r="55" spans="1:8" ht="27.6" x14ac:dyDescent="0.3">
      <c r="A55">
        <v>1</v>
      </c>
      <c r="B55" s="1" t="s">
        <v>203</v>
      </c>
      <c r="C55" s="1" t="s">
        <v>538</v>
      </c>
      <c r="D55" s="2" t="s">
        <v>236</v>
      </c>
      <c r="E55" s="1" t="s">
        <v>106</v>
      </c>
      <c r="F55" s="12">
        <v>318</v>
      </c>
      <c r="G55" s="12">
        <v>29.300000000000004</v>
      </c>
      <c r="H55" s="11">
        <f>F55*G55</f>
        <v>9317.4000000000015</v>
      </c>
    </row>
    <row r="56" spans="1:8" ht="27.6" x14ac:dyDescent="0.3">
      <c r="A56">
        <v>1</v>
      </c>
      <c r="B56" s="1" t="s">
        <v>203</v>
      </c>
      <c r="C56" s="1" t="s">
        <v>538</v>
      </c>
      <c r="D56" s="2" t="s">
        <v>237</v>
      </c>
      <c r="E56" s="1" t="s">
        <v>21</v>
      </c>
      <c r="F56" s="12">
        <v>93</v>
      </c>
      <c r="G56" s="12">
        <v>2.67</v>
      </c>
      <c r="H56" s="11">
        <f>F56*G56</f>
        <v>248.31</v>
      </c>
    </row>
    <row r="57" spans="1:8" x14ac:dyDescent="0.3">
      <c r="A57">
        <v>1</v>
      </c>
      <c r="B57" s="1" t="s">
        <v>203</v>
      </c>
      <c r="C57" s="1" t="s">
        <v>538</v>
      </c>
      <c r="D57" s="2" t="s">
        <v>242</v>
      </c>
      <c r="E57" s="1" t="s">
        <v>163</v>
      </c>
      <c r="F57" s="12">
        <v>107</v>
      </c>
      <c r="G57" s="12">
        <v>4.2640000000000002</v>
      </c>
      <c r="H57" s="11">
        <f>F57*G57</f>
        <v>456.24800000000005</v>
      </c>
    </row>
    <row r="58" spans="1:8" x14ac:dyDescent="0.3">
      <c r="A58">
        <v>1</v>
      </c>
      <c r="B58" s="1" t="s">
        <v>203</v>
      </c>
      <c r="C58" s="1" t="s">
        <v>538</v>
      </c>
      <c r="D58" s="2" t="s">
        <v>243</v>
      </c>
      <c r="E58" s="1" t="s">
        <v>163</v>
      </c>
      <c r="F58" s="12">
        <v>14</v>
      </c>
      <c r="G58" s="12">
        <v>7.7120000000000006</v>
      </c>
      <c r="H58" s="11">
        <f>F58*G58</f>
        <v>107.968</v>
      </c>
    </row>
    <row r="59" spans="1:8" x14ac:dyDescent="0.3">
      <c r="A59">
        <v>1</v>
      </c>
      <c r="B59" s="1" t="s">
        <v>203</v>
      </c>
      <c r="C59" s="1" t="s">
        <v>538</v>
      </c>
      <c r="D59" s="2" t="s">
        <v>244</v>
      </c>
      <c r="E59" s="1" t="s">
        <v>26</v>
      </c>
      <c r="F59" s="12">
        <v>284</v>
      </c>
      <c r="G59" s="12">
        <v>0.74</v>
      </c>
      <c r="H59" s="11">
        <f>F59*G59</f>
        <v>210.16</v>
      </c>
    </row>
    <row r="60" spans="1:8" x14ac:dyDescent="0.3">
      <c r="A60">
        <v>1</v>
      </c>
      <c r="B60" s="1" t="s">
        <v>203</v>
      </c>
      <c r="C60" s="1" t="s">
        <v>538</v>
      </c>
      <c r="D60" s="2" t="s">
        <v>245</v>
      </c>
      <c r="E60" s="1" t="s">
        <v>26</v>
      </c>
      <c r="F60" s="12">
        <v>284</v>
      </c>
      <c r="G60" s="12">
        <v>0.74</v>
      </c>
      <c r="H60" s="11">
        <f>F60*G60</f>
        <v>210.16</v>
      </c>
    </row>
    <row r="61" spans="1:8" x14ac:dyDescent="0.3">
      <c r="A61">
        <v>2</v>
      </c>
      <c r="B61" s="1" t="s">
        <v>203</v>
      </c>
      <c r="C61" s="1" t="s">
        <v>539</v>
      </c>
      <c r="D61" s="2" t="s">
        <v>242</v>
      </c>
      <c r="E61" s="1" t="s">
        <v>163</v>
      </c>
      <c r="F61" s="12">
        <v>100</v>
      </c>
      <c r="G61" s="12">
        <v>1.36</v>
      </c>
      <c r="H61" s="11">
        <f>F61*G61</f>
        <v>136</v>
      </c>
    </row>
    <row r="62" spans="1:8" x14ac:dyDescent="0.3">
      <c r="A62">
        <v>2</v>
      </c>
      <c r="B62" s="1" t="s">
        <v>203</v>
      </c>
      <c r="C62" s="1" t="s">
        <v>539</v>
      </c>
      <c r="D62" s="2" t="s">
        <v>243</v>
      </c>
      <c r="E62" s="1" t="s">
        <v>163</v>
      </c>
      <c r="F62" s="12">
        <v>18</v>
      </c>
      <c r="G62" s="12">
        <v>7.7119999999999997</v>
      </c>
      <c r="H62" s="11">
        <f>F62*G62</f>
        <v>138.816</v>
      </c>
    </row>
    <row r="63" spans="1:8" x14ac:dyDescent="0.3">
      <c r="A63">
        <v>2</v>
      </c>
      <c r="B63" s="1" t="s">
        <v>203</v>
      </c>
      <c r="C63" s="1" t="s">
        <v>539</v>
      </c>
      <c r="D63" s="2" t="s">
        <v>244</v>
      </c>
      <c r="E63" s="1" t="s">
        <v>26</v>
      </c>
      <c r="F63" s="12">
        <v>290</v>
      </c>
      <c r="G63" s="12">
        <v>0.74</v>
      </c>
      <c r="H63" s="11">
        <f>F63*G63</f>
        <v>214.6</v>
      </c>
    </row>
    <row r="64" spans="1:8" x14ac:dyDescent="0.3">
      <c r="A64">
        <v>2</v>
      </c>
      <c r="B64" s="1" t="s">
        <v>203</v>
      </c>
      <c r="C64" s="1" t="s">
        <v>539</v>
      </c>
      <c r="D64" s="2" t="s">
        <v>245</v>
      </c>
      <c r="E64" s="1" t="s">
        <v>26</v>
      </c>
      <c r="F64" s="12">
        <v>290</v>
      </c>
      <c r="G64" s="12">
        <v>0.74</v>
      </c>
      <c r="H64" s="11">
        <f>F64*G64</f>
        <v>214.6</v>
      </c>
    </row>
  </sheetData>
  <autoFilter ref="A1:G64" xr:uid="{073792D3-02B9-49CF-BC3B-1212EC51F4D8}"/>
  <conditionalFormatting sqref="B2:G64">
    <cfRule type="expression" dxfId="77" priority="1">
      <formula>$I2&gt;0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ABD4A-1DF7-404A-944A-327DDB0D861E}">
  <sheetPr codeName="Лист17"/>
  <dimension ref="A1:H88"/>
  <sheetViews>
    <sheetView topLeftCell="A328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1</v>
      </c>
      <c r="B2" s="1" t="s">
        <v>246</v>
      </c>
      <c r="C2" s="1" t="s">
        <v>247</v>
      </c>
      <c r="D2" s="2" t="s">
        <v>248</v>
      </c>
      <c r="E2" s="1" t="s">
        <v>249</v>
      </c>
      <c r="F2" s="12">
        <v>3</v>
      </c>
      <c r="G2" s="12">
        <v>1.01</v>
      </c>
      <c r="H2" s="11">
        <f>F2*G2</f>
        <v>3.0300000000000002</v>
      </c>
    </row>
    <row r="3" spans="1:8" ht="27.6" x14ac:dyDescent="0.3">
      <c r="A3">
        <v>1</v>
      </c>
      <c r="B3" s="1" t="s">
        <v>246</v>
      </c>
      <c r="C3" s="1" t="s">
        <v>247</v>
      </c>
      <c r="D3" s="2" t="s">
        <v>250</v>
      </c>
      <c r="E3" s="1" t="s">
        <v>249</v>
      </c>
      <c r="F3" s="12">
        <v>1</v>
      </c>
      <c r="G3" s="12">
        <v>12.8</v>
      </c>
      <c r="H3" s="11">
        <f>F3*G3</f>
        <v>12.8</v>
      </c>
    </row>
    <row r="4" spans="1:8" ht="27.6" x14ac:dyDescent="0.3">
      <c r="A4">
        <v>1</v>
      </c>
      <c r="B4" s="1" t="s">
        <v>246</v>
      </c>
      <c r="C4" s="1" t="s">
        <v>247</v>
      </c>
      <c r="D4" s="2" t="s">
        <v>248</v>
      </c>
      <c r="E4" s="1" t="s">
        <v>249</v>
      </c>
      <c r="F4" s="12">
        <v>10</v>
      </c>
      <c r="G4" s="12">
        <v>1.01</v>
      </c>
      <c r="H4" s="11">
        <f>F4*G4</f>
        <v>10.1</v>
      </c>
    </row>
    <row r="5" spans="1:8" ht="27.6" x14ac:dyDescent="0.3">
      <c r="A5">
        <v>1</v>
      </c>
      <c r="B5" s="1" t="s">
        <v>246</v>
      </c>
      <c r="C5" s="1" t="s">
        <v>247</v>
      </c>
      <c r="D5" s="2" t="s">
        <v>251</v>
      </c>
      <c r="E5" s="1" t="s">
        <v>2</v>
      </c>
      <c r="F5" s="12">
        <v>3.06</v>
      </c>
      <c r="G5" s="12">
        <v>3.24</v>
      </c>
      <c r="H5" s="11">
        <f>F5*G5</f>
        <v>9.9144000000000005</v>
      </c>
    </row>
    <row r="6" spans="1:8" ht="27.6" x14ac:dyDescent="0.3">
      <c r="A6">
        <v>1</v>
      </c>
      <c r="B6" s="1" t="s">
        <v>246</v>
      </c>
      <c r="C6" s="1" t="s">
        <v>247</v>
      </c>
      <c r="D6" s="2" t="s">
        <v>171</v>
      </c>
      <c r="E6" s="1" t="s">
        <v>163</v>
      </c>
      <c r="F6" s="12">
        <v>36</v>
      </c>
      <c r="G6" s="12">
        <v>1.74</v>
      </c>
      <c r="H6" s="11">
        <f>F6*G6</f>
        <v>62.64</v>
      </c>
    </row>
    <row r="7" spans="1:8" x14ac:dyDescent="0.3">
      <c r="A7">
        <v>1</v>
      </c>
      <c r="B7" s="1" t="s">
        <v>246</v>
      </c>
      <c r="C7" s="1" t="s">
        <v>247</v>
      </c>
      <c r="D7" s="2" t="s">
        <v>252</v>
      </c>
      <c r="E7" s="1" t="s">
        <v>26</v>
      </c>
      <c r="F7" s="12">
        <v>7.2750000000000004</v>
      </c>
      <c r="G7" s="12">
        <v>0.73999999999999988</v>
      </c>
      <c r="H7" s="11">
        <f>F7*G7</f>
        <v>5.3834999999999997</v>
      </c>
    </row>
    <row r="8" spans="1:8" x14ac:dyDescent="0.3">
      <c r="A8">
        <v>1</v>
      </c>
      <c r="B8" s="1" t="s">
        <v>246</v>
      </c>
      <c r="C8" s="1" t="s">
        <v>247</v>
      </c>
      <c r="D8" s="2" t="s">
        <v>253</v>
      </c>
      <c r="E8" s="1" t="s">
        <v>26</v>
      </c>
      <c r="F8" s="12">
        <v>7.2750000000000004</v>
      </c>
      <c r="G8" s="12">
        <v>0.73999999999999988</v>
      </c>
      <c r="H8" s="11">
        <f>F8*G8</f>
        <v>5.3834999999999997</v>
      </c>
    </row>
    <row r="9" spans="1:8" x14ac:dyDescent="0.3">
      <c r="A9">
        <v>1</v>
      </c>
      <c r="B9" s="1" t="s">
        <v>246</v>
      </c>
      <c r="C9" s="1" t="s">
        <v>247</v>
      </c>
      <c r="D9" s="2" t="s">
        <v>254</v>
      </c>
      <c r="E9" s="1" t="s">
        <v>19</v>
      </c>
      <c r="F9" s="12">
        <v>7.2750000000000004</v>
      </c>
      <c r="G9" s="12">
        <v>7.2750000000000004</v>
      </c>
      <c r="H9" s="11"/>
    </row>
    <row r="10" spans="1:8" x14ac:dyDescent="0.3">
      <c r="A10">
        <v>1</v>
      </c>
      <c r="B10" s="1" t="s">
        <v>246</v>
      </c>
      <c r="C10" s="1" t="s">
        <v>247</v>
      </c>
      <c r="D10" s="2" t="s">
        <v>255</v>
      </c>
      <c r="E10" s="1" t="s">
        <v>19</v>
      </c>
      <c r="F10" s="12">
        <v>2.202</v>
      </c>
      <c r="G10" s="12">
        <v>2.202</v>
      </c>
      <c r="H10" s="11"/>
    </row>
    <row r="11" spans="1:8" ht="27.6" x14ac:dyDescent="0.3">
      <c r="A11">
        <v>1</v>
      </c>
      <c r="B11" s="1" t="s">
        <v>246</v>
      </c>
      <c r="C11" s="1" t="s">
        <v>247</v>
      </c>
      <c r="D11" s="2" t="s">
        <v>256</v>
      </c>
      <c r="E11" s="1" t="s">
        <v>173</v>
      </c>
      <c r="F11" s="12">
        <v>9</v>
      </c>
      <c r="G11" s="12">
        <v>8.99</v>
      </c>
      <c r="H11" s="11">
        <f>F11*G11</f>
        <v>80.91</v>
      </c>
    </row>
    <row r="12" spans="1:8" x14ac:dyDescent="0.3">
      <c r="A12">
        <v>1</v>
      </c>
      <c r="B12" s="1" t="s">
        <v>246</v>
      </c>
      <c r="C12" s="1" t="s">
        <v>247</v>
      </c>
      <c r="D12" s="2" t="s">
        <v>257</v>
      </c>
      <c r="E12" s="1" t="s">
        <v>173</v>
      </c>
      <c r="F12" s="12">
        <v>59</v>
      </c>
      <c r="G12" s="12">
        <v>5.33</v>
      </c>
      <c r="H12" s="11">
        <f>F12*G12</f>
        <v>314.47000000000003</v>
      </c>
    </row>
    <row r="13" spans="1:8" x14ac:dyDescent="0.3">
      <c r="A13">
        <v>1</v>
      </c>
      <c r="B13" s="1" t="s">
        <v>246</v>
      </c>
      <c r="C13" s="1" t="s">
        <v>247</v>
      </c>
      <c r="D13" s="2" t="s">
        <v>258</v>
      </c>
      <c r="E13" s="1" t="s">
        <v>173</v>
      </c>
      <c r="F13" s="12">
        <v>10</v>
      </c>
      <c r="G13" s="12">
        <v>5.33</v>
      </c>
      <c r="H13" s="11">
        <f>F13*G13</f>
        <v>53.3</v>
      </c>
    </row>
    <row r="14" spans="1:8" ht="27.6" x14ac:dyDescent="0.3">
      <c r="A14">
        <v>1</v>
      </c>
      <c r="B14" s="1" t="s">
        <v>246</v>
      </c>
      <c r="C14" s="1" t="s">
        <v>247</v>
      </c>
      <c r="D14" s="2" t="s">
        <v>259</v>
      </c>
      <c r="E14" s="1" t="s">
        <v>44</v>
      </c>
      <c r="F14" s="12">
        <v>84</v>
      </c>
      <c r="G14" s="12">
        <v>29.82</v>
      </c>
      <c r="H14" s="11">
        <f>F14*G14</f>
        <v>2504.88</v>
      </c>
    </row>
    <row r="15" spans="1:8" ht="27.6" x14ac:dyDescent="0.3">
      <c r="A15">
        <v>1</v>
      </c>
      <c r="B15" s="1" t="s">
        <v>246</v>
      </c>
      <c r="C15" s="1" t="s">
        <v>247</v>
      </c>
      <c r="D15" s="2" t="s">
        <v>260</v>
      </c>
      <c r="E15" s="1" t="s">
        <v>173</v>
      </c>
      <c r="F15" s="12">
        <v>77</v>
      </c>
      <c r="G15" s="12">
        <v>5.33</v>
      </c>
      <c r="H15" s="11">
        <f>F15*G15</f>
        <v>410.41</v>
      </c>
    </row>
    <row r="16" spans="1:8" ht="27.6" x14ac:dyDescent="0.3">
      <c r="A16">
        <v>1</v>
      </c>
      <c r="B16" s="1" t="s">
        <v>246</v>
      </c>
      <c r="C16" s="1" t="s">
        <v>247</v>
      </c>
      <c r="D16" s="2" t="s">
        <v>261</v>
      </c>
      <c r="E16" s="1" t="s">
        <v>44</v>
      </c>
      <c r="F16" s="12">
        <v>8</v>
      </c>
      <c r="G16" s="12">
        <v>6.61</v>
      </c>
      <c r="H16" s="11">
        <f>F16*G16</f>
        <v>52.88</v>
      </c>
    </row>
    <row r="17" spans="1:8" ht="27.6" x14ac:dyDescent="0.3">
      <c r="A17">
        <v>1</v>
      </c>
      <c r="B17" s="1" t="s">
        <v>246</v>
      </c>
      <c r="C17" s="1" t="s">
        <v>247</v>
      </c>
      <c r="D17" s="2" t="s">
        <v>262</v>
      </c>
      <c r="E17" s="1" t="s">
        <v>189</v>
      </c>
      <c r="F17" s="12">
        <v>68</v>
      </c>
      <c r="G17" s="12">
        <v>1.29</v>
      </c>
      <c r="H17" s="11">
        <f>F17*G17</f>
        <v>87.72</v>
      </c>
    </row>
    <row r="18" spans="1:8" ht="27.6" x14ac:dyDescent="0.3">
      <c r="A18">
        <v>1</v>
      </c>
      <c r="B18" s="1" t="s">
        <v>246</v>
      </c>
      <c r="C18" s="1" t="s">
        <v>247</v>
      </c>
      <c r="D18" s="2" t="s">
        <v>263</v>
      </c>
      <c r="E18" s="1" t="s">
        <v>264</v>
      </c>
      <c r="F18" s="12">
        <v>1</v>
      </c>
      <c r="G18" s="12">
        <v>33.33</v>
      </c>
      <c r="H18" s="11">
        <f>F18*G18</f>
        <v>33.33</v>
      </c>
    </row>
    <row r="19" spans="1:8" ht="27.6" x14ac:dyDescent="0.3">
      <c r="A19">
        <v>2</v>
      </c>
      <c r="B19" s="1" t="s">
        <v>246</v>
      </c>
      <c r="C19" s="1" t="s">
        <v>265</v>
      </c>
      <c r="D19" s="2" t="s">
        <v>248</v>
      </c>
      <c r="E19" s="1" t="s">
        <v>249</v>
      </c>
      <c r="F19" s="12">
        <v>7</v>
      </c>
      <c r="G19" s="12">
        <v>12.799999999999999</v>
      </c>
      <c r="H19" s="11">
        <f>F19*G19</f>
        <v>89.6</v>
      </c>
    </row>
    <row r="20" spans="1:8" ht="27.6" x14ac:dyDescent="0.3">
      <c r="A20">
        <v>2</v>
      </c>
      <c r="B20" s="1" t="s">
        <v>246</v>
      </c>
      <c r="C20" s="1" t="s">
        <v>265</v>
      </c>
      <c r="D20" s="2" t="s">
        <v>251</v>
      </c>
      <c r="E20" s="1" t="s">
        <v>2</v>
      </c>
      <c r="F20" s="12">
        <v>3.02</v>
      </c>
      <c r="G20" s="12">
        <v>72.73</v>
      </c>
      <c r="H20" s="11">
        <f>F20*G20</f>
        <v>219.64460000000003</v>
      </c>
    </row>
    <row r="21" spans="1:8" ht="27.6" x14ac:dyDescent="0.3">
      <c r="A21">
        <v>2</v>
      </c>
      <c r="B21" s="1" t="s">
        <v>246</v>
      </c>
      <c r="C21" s="1" t="s">
        <v>265</v>
      </c>
      <c r="D21" s="2" t="s">
        <v>171</v>
      </c>
      <c r="E21" s="1" t="s">
        <v>163</v>
      </c>
      <c r="F21" s="12">
        <v>34</v>
      </c>
      <c r="G21" s="12">
        <v>1.74</v>
      </c>
      <c r="H21" s="11">
        <f>F21*G21</f>
        <v>59.16</v>
      </c>
    </row>
    <row r="22" spans="1:8" x14ac:dyDescent="0.3">
      <c r="A22">
        <v>2</v>
      </c>
      <c r="B22" s="1" t="s">
        <v>246</v>
      </c>
      <c r="C22" s="1" t="s">
        <v>265</v>
      </c>
      <c r="D22" s="2" t="s">
        <v>252</v>
      </c>
      <c r="E22" s="1" t="s">
        <v>26</v>
      </c>
      <c r="F22" s="12">
        <v>6.7939999999999996</v>
      </c>
      <c r="G22" s="12">
        <v>0.7400000000000001</v>
      </c>
      <c r="H22" s="11">
        <f>F22*G22</f>
        <v>5.0275600000000003</v>
      </c>
    </row>
    <row r="23" spans="1:8" x14ac:dyDescent="0.3">
      <c r="A23">
        <v>2</v>
      </c>
      <c r="B23" s="1" t="s">
        <v>246</v>
      </c>
      <c r="C23" s="1" t="s">
        <v>265</v>
      </c>
      <c r="D23" s="2" t="s">
        <v>253</v>
      </c>
      <c r="E23" s="1" t="s">
        <v>26</v>
      </c>
      <c r="F23" s="12">
        <v>6.7939999999999996</v>
      </c>
      <c r="G23" s="12">
        <v>0.7400000000000001</v>
      </c>
      <c r="H23" s="11">
        <f>F23*G23</f>
        <v>5.0275600000000003</v>
      </c>
    </row>
    <row r="24" spans="1:8" x14ac:dyDescent="0.3">
      <c r="A24">
        <v>2</v>
      </c>
      <c r="B24" s="1" t="s">
        <v>246</v>
      </c>
      <c r="C24" s="1" t="s">
        <v>265</v>
      </c>
      <c r="D24" s="2" t="s">
        <v>254</v>
      </c>
      <c r="E24" s="1" t="s">
        <v>19</v>
      </c>
      <c r="F24" s="12">
        <v>6.7939999999999996</v>
      </c>
      <c r="G24" s="12">
        <v>6.7939999999999996</v>
      </c>
      <c r="H24" s="11"/>
    </row>
    <row r="25" spans="1:8" x14ac:dyDescent="0.3">
      <c r="A25">
        <v>2</v>
      </c>
      <c r="B25" s="1" t="s">
        <v>246</v>
      </c>
      <c r="C25" s="1" t="s">
        <v>265</v>
      </c>
      <c r="D25" s="2" t="s">
        <v>255</v>
      </c>
      <c r="E25" s="1" t="s">
        <v>19</v>
      </c>
      <c r="F25" s="12">
        <v>2.202</v>
      </c>
      <c r="G25" s="12">
        <v>2.202</v>
      </c>
      <c r="H25" s="11"/>
    </row>
    <row r="26" spans="1:8" x14ac:dyDescent="0.3">
      <c r="A26">
        <v>2</v>
      </c>
      <c r="B26" s="1" t="s">
        <v>246</v>
      </c>
      <c r="C26" s="1" t="s">
        <v>265</v>
      </c>
      <c r="D26" s="2" t="s">
        <v>266</v>
      </c>
      <c r="E26" s="1" t="s">
        <v>173</v>
      </c>
      <c r="F26" s="12">
        <v>4</v>
      </c>
      <c r="G26" s="12">
        <v>8.99</v>
      </c>
      <c r="H26" s="11">
        <f>F26*G26</f>
        <v>35.96</v>
      </c>
    </row>
    <row r="27" spans="1:8" x14ac:dyDescent="0.3">
      <c r="A27">
        <v>2</v>
      </c>
      <c r="B27" s="1" t="s">
        <v>246</v>
      </c>
      <c r="C27" s="1" t="s">
        <v>265</v>
      </c>
      <c r="D27" s="2" t="s">
        <v>257</v>
      </c>
      <c r="E27" s="1" t="s">
        <v>173</v>
      </c>
      <c r="F27" s="12">
        <v>62</v>
      </c>
      <c r="G27" s="12">
        <v>5.33</v>
      </c>
      <c r="H27" s="11">
        <f>F27*G27</f>
        <v>330.46</v>
      </c>
    </row>
    <row r="28" spans="1:8" x14ac:dyDescent="0.3">
      <c r="A28">
        <v>2</v>
      </c>
      <c r="B28" s="1" t="s">
        <v>246</v>
      </c>
      <c r="C28" s="1" t="s">
        <v>265</v>
      </c>
      <c r="D28" s="2" t="s">
        <v>267</v>
      </c>
      <c r="E28" s="1" t="s">
        <v>173</v>
      </c>
      <c r="F28" s="12">
        <v>4</v>
      </c>
      <c r="G28" s="12">
        <v>5.33</v>
      </c>
      <c r="H28" s="11">
        <f>F28*G28</f>
        <v>21.32</v>
      </c>
    </row>
    <row r="29" spans="1:8" ht="27.6" x14ac:dyDescent="0.3">
      <c r="A29">
        <v>2</v>
      </c>
      <c r="B29" s="1" t="s">
        <v>246</v>
      </c>
      <c r="C29" s="1" t="s">
        <v>265</v>
      </c>
      <c r="D29" s="2" t="s">
        <v>259</v>
      </c>
      <c r="E29" s="1" t="s">
        <v>44</v>
      </c>
      <c r="F29" s="12">
        <v>36</v>
      </c>
      <c r="G29" s="12">
        <v>29.82</v>
      </c>
      <c r="H29" s="11">
        <f>F29*G29</f>
        <v>1073.52</v>
      </c>
    </row>
    <row r="30" spans="1:8" ht="27.6" x14ac:dyDescent="0.3">
      <c r="A30">
        <v>2</v>
      </c>
      <c r="B30" s="1" t="s">
        <v>246</v>
      </c>
      <c r="C30" s="1" t="s">
        <v>265</v>
      </c>
      <c r="D30" s="2" t="s">
        <v>260</v>
      </c>
      <c r="E30" s="1" t="s">
        <v>173</v>
      </c>
      <c r="F30" s="12">
        <v>70</v>
      </c>
      <c r="G30" s="12">
        <v>5.33</v>
      </c>
      <c r="H30" s="11">
        <f>F30*G30</f>
        <v>373.1</v>
      </c>
    </row>
    <row r="31" spans="1:8" ht="27.6" x14ac:dyDescent="0.3">
      <c r="A31">
        <v>2</v>
      </c>
      <c r="B31" s="1" t="s">
        <v>246</v>
      </c>
      <c r="C31" s="1" t="s">
        <v>265</v>
      </c>
      <c r="D31" s="2" t="s">
        <v>261</v>
      </c>
      <c r="E31" s="1" t="s">
        <v>44</v>
      </c>
      <c r="F31" s="12">
        <v>2</v>
      </c>
      <c r="G31" s="12">
        <v>6.61</v>
      </c>
      <c r="H31" s="11">
        <f>F31*G31</f>
        <v>13.22</v>
      </c>
    </row>
    <row r="32" spans="1:8" ht="27.6" x14ac:dyDescent="0.3">
      <c r="A32">
        <v>2</v>
      </c>
      <c r="B32" s="1" t="s">
        <v>246</v>
      </c>
      <c r="C32" s="1" t="s">
        <v>265</v>
      </c>
      <c r="D32" s="2" t="s">
        <v>262</v>
      </c>
      <c r="E32" s="1" t="s">
        <v>189</v>
      </c>
      <c r="F32" s="12">
        <v>65</v>
      </c>
      <c r="G32" s="12">
        <v>1.2899999999999998</v>
      </c>
      <c r="H32" s="11">
        <f>F32*G32</f>
        <v>83.85</v>
      </c>
    </row>
    <row r="33" spans="1:8" ht="27.6" x14ac:dyDescent="0.3">
      <c r="A33">
        <v>2</v>
      </c>
      <c r="B33" s="1" t="s">
        <v>246</v>
      </c>
      <c r="C33" s="1" t="s">
        <v>265</v>
      </c>
      <c r="D33" s="2" t="s">
        <v>263</v>
      </c>
      <c r="E33" s="1" t="s">
        <v>264</v>
      </c>
      <c r="F33" s="12">
        <v>1</v>
      </c>
      <c r="G33" s="12">
        <v>33.33</v>
      </c>
      <c r="H33" s="11">
        <f>F33*G33</f>
        <v>33.33</v>
      </c>
    </row>
    <row r="34" spans="1:8" ht="27.6" x14ac:dyDescent="0.3">
      <c r="A34">
        <v>4</v>
      </c>
      <c r="B34" s="1" t="s">
        <v>246</v>
      </c>
      <c r="C34" s="1" t="s">
        <v>268</v>
      </c>
      <c r="D34" s="2" t="s">
        <v>269</v>
      </c>
      <c r="E34" s="1" t="s">
        <v>163</v>
      </c>
      <c r="F34" s="12">
        <v>119</v>
      </c>
      <c r="G34" s="12">
        <v>2.0299999999999998</v>
      </c>
      <c r="H34" s="11">
        <f>F34*G34</f>
        <v>241.56999999999996</v>
      </c>
    </row>
    <row r="35" spans="1:8" ht="27.6" x14ac:dyDescent="0.3">
      <c r="A35">
        <v>5</v>
      </c>
      <c r="B35" s="1" t="s">
        <v>246</v>
      </c>
      <c r="C35" s="1" t="s">
        <v>270</v>
      </c>
      <c r="D35" s="2" t="s">
        <v>271</v>
      </c>
      <c r="E35" s="1" t="s">
        <v>163</v>
      </c>
      <c r="F35" s="12">
        <v>118</v>
      </c>
      <c r="G35" s="12">
        <v>2.0299999999999998</v>
      </c>
      <c r="H35" s="11">
        <f>F35*G35</f>
        <v>239.53999999999996</v>
      </c>
    </row>
    <row r="36" spans="1:8" ht="27.6" x14ac:dyDescent="0.3">
      <c r="A36">
        <v>6</v>
      </c>
      <c r="B36" s="1" t="s">
        <v>246</v>
      </c>
      <c r="C36" s="1" t="s">
        <v>272</v>
      </c>
      <c r="D36" s="2" t="s">
        <v>273</v>
      </c>
      <c r="E36" s="1" t="s">
        <v>753</v>
      </c>
      <c r="F36" s="12">
        <v>8</v>
      </c>
      <c r="G36" s="12">
        <v>30.4</v>
      </c>
      <c r="H36" s="11">
        <f>F36*G36</f>
        <v>243.2</v>
      </c>
    </row>
    <row r="37" spans="1:8" ht="27.6" x14ac:dyDescent="0.3">
      <c r="A37">
        <v>6</v>
      </c>
      <c r="B37" s="1" t="s">
        <v>246</v>
      </c>
      <c r="C37" s="1" t="s">
        <v>272</v>
      </c>
      <c r="D37" s="2" t="s">
        <v>274</v>
      </c>
      <c r="E37" s="1" t="s">
        <v>753</v>
      </c>
      <c r="F37" s="12">
        <v>10</v>
      </c>
      <c r="G37" s="12">
        <v>33</v>
      </c>
      <c r="H37" s="11">
        <f>F37*G37</f>
        <v>330</v>
      </c>
    </row>
    <row r="38" spans="1:8" ht="41.4" x14ac:dyDescent="0.3">
      <c r="A38">
        <v>6</v>
      </c>
      <c r="B38" s="1" t="s">
        <v>246</v>
      </c>
      <c r="C38" s="1" t="s">
        <v>272</v>
      </c>
      <c r="D38" s="2" t="s">
        <v>275</v>
      </c>
      <c r="E38" s="1" t="s">
        <v>44</v>
      </c>
      <c r="F38" s="12">
        <v>2</v>
      </c>
      <c r="G38" s="12">
        <v>1.74</v>
      </c>
      <c r="H38" s="11">
        <f>F38*G38</f>
        <v>3.48</v>
      </c>
    </row>
    <row r="39" spans="1:8" ht="27.6" x14ac:dyDescent="0.3">
      <c r="A39">
        <v>6</v>
      </c>
      <c r="B39" s="1" t="s">
        <v>246</v>
      </c>
      <c r="C39" s="1" t="s">
        <v>272</v>
      </c>
      <c r="D39" s="2" t="s">
        <v>276</v>
      </c>
      <c r="E39" s="1" t="s">
        <v>44</v>
      </c>
      <c r="F39" s="12">
        <v>6</v>
      </c>
      <c r="G39" s="12">
        <v>18.899999999999999</v>
      </c>
      <c r="H39" s="11">
        <f>F39*G39</f>
        <v>113.39999999999999</v>
      </c>
    </row>
    <row r="40" spans="1:8" x14ac:dyDescent="0.3">
      <c r="A40">
        <v>6</v>
      </c>
      <c r="B40" s="1" t="s">
        <v>246</v>
      </c>
      <c r="C40" s="1" t="s">
        <v>272</v>
      </c>
      <c r="D40" s="2" t="s">
        <v>277</v>
      </c>
      <c r="E40" s="1" t="s">
        <v>753</v>
      </c>
      <c r="F40" s="12">
        <v>66</v>
      </c>
      <c r="G40" s="12">
        <v>38</v>
      </c>
      <c r="H40" s="11">
        <f>F40*G40</f>
        <v>2508</v>
      </c>
    </row>
    <row r="41" spans="1:8" ht="27.6" x14ac:dyDescent="0.3">
      <c r="A41">
        <v>6</v>
      </c>
      <c r="B41" s="1" t="s">
        <v>246</v>
      </c>
      <c r="C41" s="1" t="s">
        <v>272</v>
      </c>
      <c r="D41" s="2" t="s">
        <v>278</v>
      </c>
      <c r="E41" s="1" t="s">
        <v>753</v>
      </c>
      <c r="F41" s="12">
        <v>6</v>
      </c>
      <c r="G41" s="12">
        <v>69.899999999999991</v>
      </c>
      <c r="H41" s="11">
        <f>F41*G41</f>
        <v>419.4</v>
      </c>
    </row>
    <row r="42" spans="1:8" ht="27.6" x14ac:dyDescent="0.3">
      <c r="A42">
        <v>6</v>
      </c>
      <c r="B42" s="1" t="s">
        <v>246</v>
      </c>
      <c r="C42" s="1" t="s">
        <v>272</v>
      </c>
      <c r="D42" s="2" t="s">
        <v>279</v>
      </c>
      <c r="E42" s="1" t="s">
        <v>180</v>
      </c>
      <c r="F42" s="12">
        <v>4.0000000000000001E-3</v>
      </c>
      <c r="G42" s="12">
        <v>300</v>
      </c>
      <c r="H42" s="11">
        <f>F42*G42</f>
        <v>1.2</v>
      </c>
    </row>
    <row r="43" spans="1:8" ht="27.6" x14ac:dyDescent="0.3">
      <c r="A43">
        <v>6</v>
      </c>
      <c r="B43" s="1" t="s">
        <v>246</v>
      </c>
      <c r="C43" s="1" t="s">
        <v>272</v>
      </c>
      <c r="D43" s="2" t="s">
        <v>280</v>
      </c>
      <c r="E43" s="1" t="s">
        <v>21</v>
      </c>
      <c r="F43" s="12">
        <v>36.75</v>
      </c>
      <c r="G43" s="12">
        <v>23.690013605442179</v>
      </c>
      <c r="H43" s="11">
        <f>F43*G43</f>
        <v>870.60800000000006</v>
      </c>
    </row>
    <row r="44" spans="1:8" ht="27.6" x14ac:dyDescent="0.3">
      <c r="A44">
        <v>6</v>
      </c>
      <c r="B44" s="1" t="s">
        <v>246</v>
      </c>
      <c r="C44" s="1" t="s">
        <v>272</v>
      </c>
      <c r="D44" s="2" t="s">
        <v>144</v>
      </c>
      <c r="E44" s="1" t="s">
        <v>21</v>
      </c>
      <c r="F44" s="12">
        <v>0.75</v>
      </c>
      <c r="G44" s="12">
        <v>615</v>
      </c>
      <c r="H44" s="11">
        <f>F44*G44</f>
        <v>461.25</v>
      </c>
    </row>
    <row r="45" spans="1:8" ht="27.6" x14ac:dyDescent="0.3">
      <c r="A45">
        <v>6</v>
      </c>
      <c r="B45" s="1" t="s">
        <v>246</v>
      </c>
      <c r="C45" s="1" t="s">
        <v>272</v>
      </c>
      <c r="D45" s="2" t="s">
        <v>38</v>
      </c>
      <c r="E45" s="1" t="s">
        <v>21</v>
      </c>
      <c r="F45" s="12">
        <v>36.75</v>
      </c>
      <c r="G45" s="12">
        <v>3.6749999999999998E-2</v>
      </c>
      <c r="H45" s="11"/>
    </row>
    <row r="46" spans="1:8" x14ac:dyDescent="0.3">
      <c r="A46">
        <v>6</v>
      </c>
      <c r="B46" s="1" t="s">
        <v>246</v>
      </c>
      <c r="C46" s="1" t="s">
        <v>272</v>
      </c>
      <c r="D46" s="2" t="s">
        <v>93</v>
      </c>
      <c r="E46" s="1" t="s">
        <v>21</v>
      </c>
      <c r="F46" s="12">
        <v>0.75</v>
      </c>
      <c r="G46" s="12">
        <v>222</v>
      </c>
      <c r="H46" s="11">
        <f>F46*G46</f>
        <v>166.5</v>
      </c>
    </row>
    <row r="47" spans="1:8" ht="27.6" x14ac:dyDescent="0.3">
      <c r="A47">
        <v>7</v>
      </c>
      <c r="B47" s="1" t="s">
        <v>246</v>
      </c>
      <c r="C47" s="1" t="s">
        <v>281</v>
      </c>
      <c r="D47" s="2" t="s">
        <v>273</v>
      </c>
      <c r="E47" s="1" t="s">
        <v>753</v>
      </c>
      <c r="F47" s="12">
        <v>8</v>
      </c>
      <c r="G47" s="12">
        <v>30.4</v>
      </c>
      <c r="H47" s="11">
        <f>F47*G47</f>
        <v>243.2</v>
      </c>
    </row>
    <row r="48" spans="1:8" ht="27.6" x14ac:dyDescent="0.3">
      <c r="A48">
        <v>7</v>
      </c>
      <c r="B48" s="1" t="s">
        <v>246</v>
      </c>
      <c r="C48" s="1" t="s">
        <v>281</v>
      </c>
      <c r="D48" s="2" t="s">
        <v>274</v>
      </c>
      <c r="E48" s="1" t="s">
        <v>753</v>
      </c>
      <c r="F48" s="12">
        <v>6</v>
      </c>
      <c r="G48" s="12">
        <v>33</v>
      </c>
      <c r="H48" s="11">
        <f>F48*G48</f>
        <v>198</v>
      </c>
    </row>
    <row r="49" spans="1:8" ht="41.4" x14ac:dyDescent="0.3">
      <c r="A49">
        <v>7</v>
      </c>
      <c r="B49" s="1" t="s">
        <v>246</v>
      </c>
      <c r="C49" s="1" t="s">
        <v>281</v>
      </c>
      <c r="D49" s="2" t="s">
        <v>275</v>
      </c>
      <c r="E49" s="1" t="s">
        <v>44</v>
      </c>
      <c r="F49" s="12">
        <v>2</v>
      </c>
      <c r="G49" s="12">
        <v>1.74</v>
      </c>
      <c r="H49" s="11">
        <f>F49*G49</f>
        <v>3.48</v>
      </c>
    </row>
    <row r="50" spans="1:8" ht="27.6" x14ac:dyDescent="0.3">
      <c r="A50">
        <v>7</v>
      </c>
      <c r="B50" s="1" t="s">
        <v>246</v>
      </c>
      <c r="C50" s="1" t="s">
        <v>281</v>
      </c>
      <c r="D50" s="2" t="s">
        <v>276</v>
      </c>
      <c r="E50" s="1" t="s">
        <v>44</v>
      </c>
      <c r="F50" s="12">
        <v>6</v>
      </c>
      <c r="G50" s="12">
        <v>18.899999999999999</v>
      </c>
      <c r="H50" s="11">
        <f>F50*G50</f>
        <v>113.39999999999999</v>
      </c>
    </row>
    <row r="51" spans="1:8" x14ac:dyDescent="0.3">
      <c r="A51">
        <v>7</v>
      </c>
      <c r="B51" s="1" t="s">
        <v>246</v>
      </c>
      <c r="C51" s="1" t="s">
        <v>281</v>
      </c>
      <c r="D51" s="2" t="s">
        <v>277</v>
      </c>
      <c r="E51" s="1" t="s">
        <v>753</v>
      </c>
      <c r="F51" s="12">
        <v>80</v>
      </c>
      <c r="G51" s="12">
        <v>38</v>
      </c>
      <c r="H51" s="11">
        <f>F51*G51</f>
        <v>3040</v>
      </c>
    </row>
    <row r="52" spans="1:8" ht="27.6" x14ac:dyDescent="0.3">
      <c r="A52">
        <v>7</v>
      </c>
      <c r="B52" s="1" t="s">
        <v>246</v>
      </c>
      <c r="C52" s="1" t="s">
        <v>281</v>
      </c>
      <c r="D52" s="2" t="s">
        <v>278</v>
      </c>
      <c r="E52" s="1" t="s">
        <v>753</v>
      </c>
      <c r="F52" s="12">
        <v>6</v>
      </c>
      <c r="G52" s="12">
        <v>69.899999999999991</v>
      </c>
      <c r="H52" s="11">
        <f>F52*G52</f>
        <v>419.4</v>
      </c>
    </row>
    <row r="53" spans="1:8" ht="27.6" x14ac:dyDescent="0.3">
      <c r="A53">
        <v>7</v>
      </c>
      <c r="B53" s="1" t="s">
        <v>246</v>
      </c>
      <c r="C53" s="1" t="s">
        <v>281</v>
      </c>
      <c r="D53" s="2" t="s">
        <v>280</v>
      </c>
      <c r="E53" s="1" t="s">
        <v>21</v>
      </c>
      <c r="F53" s="12">
        <v>42.875</v>
      </c>
      <c r="G53" s="12">
        <v>23.69000583090379</v>
      </c>
      <c r="H53" s="11">
        <f>F53*G53</f>
        <v>1015.7089999999999</v>
      </c>
    </row>
    <row r="54" spans="1:8" ht="27.6" x14ac:dyDescent="0.3">
      <c r="A54">
        <v>7</v>
      </c>
      <c r="B54" s="1" t="s">
        <v>246</v>
      </c>
      <c r="C54" s="1" t="s">
        <v>281</v>
      </c>
      <c r="D54" s="2" t="s">
        <v>144</v>
      </c>
      <c r="E54" s="1" t="s">
        <v>21</v>
      </c>
      <c r="F54" s="12">
        <v>0.87500000000000011</v>
      </c>
      <c r="G54" s="12">
        <v>614.99999999999989</v>
      </c>
      <c r="H54" s="11">
        <f>F54*G54</f>
        <v>538.125</v>
      </c>
    </row>
    <row r="55" spans="1:8" ht="27.6" x14ac:dyDescent="0.3">
      <c r="A55">
        <v>7</v>
      </c>
      <c r="B55" s="1" t="s">
        <v>246</v>
      </c>
      <c r="C55" s="1" t="s">
        <v>281</v>
      </c>
      <c r="D55" s="2" t="s">
        <v>38</v>
      </c>
      <c r="E55" s="1" t="s">
        <v>21</v>
      </c>
      <c r="F55" s="12">
        <v>4.2880000000000003</v>
      </c>
      <c r="G55" s="12">
        <v>4.2880000000000001E-3</v>
      </c>
      <c r="H55" s="11"/>
    </row>
    <row r="56" spans="1:8" x14ac:dyDescent="0.3">
      <c r="A56">
        <v>7</v>
      </c>
      <c r="B56" s="1" t="s">
        <v>246</v>
      </c>
      <c r="C56" s="1" t="s">
        <v>281</v>
      </c>
      <c r="D56" s="2" t="s">
        <v>93</v>
      </c>
      <c r="E56" s="1" t="s">
        <v>21</v>
      </c>
      <c r="F56" s="12">
        <v>0.87500000000000011</v>
      </c>
      <c r="G56" s="12">
        <v>221.99999999999997</v>
      </c>
      <c r="H56" s="11">
        <f>F56*G56</f>
        <v>194.25</v>
      </c>
    </row>
    <row r="57" spans="1:8" ht="27.6" x14ac:dyDescent="0.3">
      <c r="A57">
        <v>8</v>
      </c>
      <c r="B57" s="1" t="s">
        <v>246</v>
      </c>
      <c r="C57" s="1" t="s">
        <v>282</v>
      </c>
      <c r="D57" s="2" t="s">
        <v>273</v>
      </c>
      <c r="E57" s="1" t="s">
        <v>753</v>
      </c>
      <c r="F57" s="12">
        <v>8</v>
      </c>
      <c r="G57" s="12">
        <v>30.4</v>
      </c>
      <c r="H57" s="11">
        <f>F57*G57</f>
        <v>243.2</v>
      </c>
    </row>
    <row r="58" spans="1:8" ht="27.6" x14ac:dyDescent="0.3">
      <c r="A58">
        <v>8</v>
      </c>
      <c r="B58" s="1" t="s">
        <v>246</v>
      </c>
      <c r="C58" s="1" t="s">
        <v>282</v>
      </c>
      <c r="D58" s="2" t="s">
        <v>274</v>
      </c>
      <c r="E58" s="1" t="s">
        <v>753</v>
      </c>
      <c r="F58" s="12">
        <v>23</v>
      </c>
      <c r="G58" s="12">
        <v>33</v>
      </c>
      <c r="H58" s="11">
        <f>F58*G58</f>
        <v>759</v>
      </c>
    </row>
    <row r="59" spans="1:8" ht="41.4" x14ac:dyDescent="0.3">
      <c r="A59">
        <v>8</v>
      </c>
      <c r="B59" s="1" t="s">
        <v>246</v>
      </c>
      <c r="C59" s="1" t="s">
        <v>282</v>
      </c>
      <c r="D59" s="2" t="s">
        <v>275</v>
      </c>
      <c r="E59" s="1" t="s">
        <v>44</v>
      </c>
      <c r="F59" s="12">
        <v>2</v>
      </c>
      <c r="G59" s="12">
        <v>1.74</v>
      </c>
      <c r="H59" s="11">
        <f>F59*G59</f>
        <v>3.48</v>
      </c>
    </row>
    <row r="60" spans="1:8" ht="27.6" x14ac:dyDescent="0.3">
      <c r="A60">
        <v>8</v>
      </c>
      <c r="B60" s="1" t="s">
        <v>246</v>
      </c>
      <c r="C60" s="1" t="s">
        <v>282</v>
      </c>
      <c r="D60" s="2" t="s">
        <v>276</v>
      </c>
      <c r="E60" s="1" t="s">
        <v>44</v>
      </c>
      <c r="F60" s="12">
        <v>6</v>
      </c>
      <c r="G60" s="12">
        <v>18.899999999999999</v>
      </c>
      <c r="H60" s="11">
        <f>F60*G60</f>
        <v>113.39999999999999</v>
      </c>
    </row>
    <row r="61" spans="1:8" x14ac:dyDescent="0.3">
      <c r="A61">
        <v>8</v>
      </c>
      <c r="B61" s="1" t="s">
        <v>246</v>
      </c>
      <c r="C61" s="1" t="s">
        <v>282</v>
      </c>
      <c r="D61" s="2" t="s">
        <v>277</v>
      </c>
      <c r="E61" s="1" t="s">
        <v>753</v>
      </c>
      <c r="F61" s="12">
        <v>96</v>
      </c>
      <c r="G61" s="12">
        <v>37.999999999999993</v>
      </c>
      <c r="H61" s="11">
        <f>F61*G61</f>
        <v>3647.9999999999991</v>
      </c>
    </row>
    <row r="62" spans="1:8" ht="27.6" x14ac:dyDescent="0.3">
      <c r="A62">
        <v>8</v>
      </c>
      <c r="B62" s="1" t="s">
        <v>246</v>
      </c>
      <c r="C62" s="1" t="s">
        <v>282</v>
      </c>
      <c r="D62" s="2" t="s">
        <v>278</v>
      </c>
      <c r="E62" s="1" t="s">
        <v>753</v>
      </c>
      <c r="F62" s="12">
        <v>6</v>
      </c>
      <c r="G62" s="12">
        <v>69.899999999999991</v>
      </c>
      <c r="H62" s="11">
        <f>F62*G62</f>
        <v>419.4</v>
      </c>
    </row>
    <row r="63" spans="1:8" ht="27.6" x14ac:dyDescent="0.3">
      <c r="A63">
        <v>8</v>
      </c>
      <c r="B63" s="1" t="s">
        <v>246</v>
      </c>
      <c r="C63" s="1" t="s">
        <v>282</v>
      </c>
      <c r="D63" s="2" t="s">
        <v>279</v>
      </c>
      <c r="E63" s="1" t="s">
        <v>180</v>
      </c>
      <c r="F63" s="12">
        <v>1.7000000000000001E-2</v>
      </c>
      <c r="G63" s="12">
        <v>299.99999999999994</v>
      </c>
      <c r="H63" s="11">
        <f>F63*G63</f>
        <v>5.0999999999999996</v>
      </c>
    </row>
    <row r="64" spans="1:8" x14ac:dyDescent="0.3">
      <c r="A64">
        <v>8</v>
      </c>
      <c r="B64" s="1" t="s">
        <v>246</v>
      </c>
      <c r="C64" s="1" t="s">
        <v>282</v>
      </c>
      <c r="D64" s="2" t="s">
        <v>254</v>
      </c>
      <c r="E64" s="1" t="s">
        <v>19</v>
      </c>
      <c r="F64" s="12">
        <v>1.7162999999999999</v>
      </c>
      <c r="G64" s="12">
        <v>1.7162999999999999</v>
      </c>
      <c r="H64" s="11"/>
    </row>
    <row r="65" spans="1:8" x14ac:dyDescent="0.3">
      <c r="A65">
        <v>8</v>
      </c>
      <c r="B65" s="1" t="s">
        <v>246</v>
      </c>
      <c r="C65" s="1" t="s">
        <v>282</v>
      </c>
      <c r="D65" s="2" t="s">
        <v>255</v>
      </c>
      <c r="E65" s="1" t="s">
        <v>19</v>
      </c>
      <c r="F65" s="12">
        <v>0.53500000000000003</v>
      </c>
      <c r="G65" s="12">
        <v>0.53500000000000003</v>
      </c>
      <c r="H65" s="11"/>
    </row>
    <row r="66" spans="1:8" ht="27.6" x14ac:dyDescent="0.3">
      <c r="A66">
        <v>8</v>
      </c>
      <c r="B66" s="1" t="s">
        <v>246</v>
      </c>
      <c r="C66" s="1" t="s">
        <v>282</v>
      </c>
      <c r="D66" s="2" t="s">
        <v>280</v>
      </c>
      <c r="E66" s="1" t="s">
        <v>21</v>
      </c>
      <c r="F66" s="12">
        <v>69.262</v>
      </c>
      <c r="G66" s="12">
        <v>23.690003176344892</v>
      </c>
      <c r="H66" s="11">
        <f>F66*G66</f>
        <v>1640.8169999999998</v>
      </c>
    </row>
    <row r="67" spans="1:8" ht="27.6" x14ac:dyDescent="0.3">
      <c r="A67">
        <v>8</v>
      </c>
      <c r="B67" s="1" t="s">
        <v>246</v>
      </c>
      <c r="C67" s="1" t="s">
        <v>282</v>
      </c>
      <c r="D67" s="2" t="s">
        <v>144</v>
      </c>
      <c r="E67" s="1" t="s">
        <v>21</v>
      </c>
      <c r="F67" s="12">
        <v>1.4135</v>
      </c>
      <c r="G67" s="12">
        <v>615</v>
      </c>
      <c r="H67" s="11">
        <f>F67*G67</f>
        <v>869.30250000000001</v>
      </c>
    </row>
    <row r="68" spans="1:8" ht="27.6" x14ac:dyDescent="0.3">
      <c r="A68">
        <v>8</v>
      </c>
      <c r="B68" s="1" t="s">
        <v>246</v>
      </c>
      <c r="C68" s="1" t="s">
        <v>282</v>
      </c>
      <c r="D68" s="2" t="s">
        <v>38</v>
      </c>
      <c r="E68" s="1" t="s">
        <v>21</v>
      </c>
      <c r="F68" s="12">
        <v>69.262</v>
      </c>
      <c r="G68" s="12">
        <v>6.9262000000000004E-2</v>
      </c>
      <c r="H68" s="11"/>
    </row>
    <row r="69" spans="1:8" x14ac:dyDescent="0.3">
      <c r="A69">
        <v>8</v>
      </c>
      <c r="B69" s="1" t="s">
        <v>246</v>
      </c>
      <c r="C69" s="1" t="s">
        <v>282</v>
      </c>
      <c r="D69" s="2" t="s">
        <v>93</v>
      </c>
      <c r="E69" s="1" t="s">
        <v>21</v>
      </c>
      <c r="F69" s="12">
        <v>1.4135</v>
      </c>
      <c r="G69" s="12">
        <v>222.00000000000003</v>
      </c>
      <c r="H69" s="11">
        <f>F69*G69</f>
        <v>313.79700000000003</v>
      </c>
    </row>
    <row r="70" spans="1:8" ht="27.6" x14ac:dyDescent="0.3">
      <c r="A70">
        <v>3</v>
      </c>
      <c r="B70" s="1" t="s">
        <v>246</v>
      </c>
      <c r="C70" s="1" t="s">
        <v>283</v>
      </c>
      <c r="D70" s="2" t="s">
        <v>284</v>
      </c>
      <c r="E70" s="1" t="s">
        <v>163</v>
      </c>
      <c r="F70" s="12">
        <v>3</v>
      </c>
      <c r="G70" s="12">
        <v>2.0299999999999998</v>
      </c>
      <c r="H70" s="11">
        <f>F70*G70</f>
        <v>6.09</v>
      </c>
    </row>
    <row r="71" spans="1:8" x14ac:dyDescent="0.3">
      <c r="A71">
        <v>3</v>
      </c>
      <c r="B71" s="1" t="s">
        <v>246</v>
      </c>
      <c r="C71" s="1" t="s">
        <v>283</v>
      </c>
      <c r="D71" s="2" t="s">
        <v>285</v>
      </c>
      <c r="E71" s="1" t="s">
        <v>173</v>
      </c>
      <c r="F71" s="12">
        <v>4</v>
      </c>
      <c r="G71" s="12">
        <v>6.2930000000000001</v>
      </c>
      <c r="H71" s="11">
        <f>F71*G71</f>
        <v>25.172000000000001</v>
      </c>
    </row>
    <row r="72" spans="1:8" x14ac:dyDescent="0.3">
      <c r="A72">
        <v>3</v>
      </c>
      <c r="B72" s="1" t="s">
        <v>246</v>
      </c>
      <c r="C72" s="1" t="s">
        <v>283</v>
      </c>
      <c r="D72" s="2" t="s">
        <v>286</v>
      </c>
      <c r="E72" s="1" t="s">
        <v>173</v>
      </c>
      <c r="F72" s="12">
        <v>1</v>
      </c>
      <c r="G72" s="12">
        <v>0.37</v>
      </c>
      <c r="H72" s="11">
        <f>F72*G72</f>
        <v>0.37</v>
      </c>
    </row>
    <row r="73" spans="1:8" ht="27.6" x14ac:dyDescent="0.3">
      <c r="A73">
        <v>3</v>
      </c>
      <c r="B73" s="1" t="s">
        <v>246</v>
      </c>
      <c r="C73" s="1" t="s">
        <v>283</v>
      </c>
      <c r="D73" s="2" t="s">
        <v>251</v>
      </c>
      <c r="E73" s="1" t="s">
        <v>2</v>
      </c>
      <c r="F73" s="12">
        <v>0.03</v>
      </c>
      <c r="G73" s="12">
        <v>3.2399999999999998</v>
      </c>
      <c r="H73" s="11">
        <f>F73*G73</f>
        <v>9.7199999999999995E-2</v>
      </c>
    </row>
    <row r="74" spans="1:8" ht="27.6" x14ac:dyDescent="0.3">
      <c r="A74">
        <v>3</v>
      </c>
      <c r="B74" s="1" t="s">
        <v>246</v>
      </c>
      <c r="C74" s="1" t="s">
        <v>283</v>
      </c>
      <c r="D74" s="2" t="s">
        <v>171</v>
      </c>
      <c r="E74" s="1" t="s">
        <v>163</v>
      </c>
      <c r="F74" s="12">
        <v>4</v>
      </c>
      <c r="G74" s="12">
        <v>0.08</v>
      </c>
      <c r="H74" s="11">
        <f>F74*G74</f>
        <v>0.32</v>
      </c>
    </row>
    <row r="75" spans="1:8" ht="27.6" x14ac:dyDescent="0.3">
      <c r="A75">
        <v>3</v>
      </c>
      <c r="B75" s="1" t="s">
        <v>246</v>
      </c>
      <c r="C75" s="1" t="s">
        <v>283</v>
      </c>
      <c r="D75" s="2" t="s">
        <v>256</v>
      </c>
      <c r="E75" s="1" t="s">
        <v>173</v>
      </c>
      <c r="F75" s="12">
        <v>3</v>
      </c>
      <c r="G75" s="12">
        <v>0.37000000000000005</v>
      </c>
      <c r="H75" s="11">
        <f>F75*G75</f>
        <v>1.1100000000000001</v>
      </c>
    </row>
    <row r="76" spans="1:8" x14ac:dyDescent="0.3">
      <c r="A76">
        <v>3</v>
      </c>
      <c r="B76" s="1" t="s">
        <v>246</v>
      </c>
      <c r="C76" s="1" t="s">
        <v>283</v>
      </c>
      <c r="D76" s="2" t="s">
        <v>267</v>
      </c>
      <c r="E76" s="1" t="s">
        <v>173</v>
      </c>
      <c r="F76" s="12">
        <v>3</v>
      </c>
      <c r="G76" s="12">
        <v>0.22</v>
      </c>
      <c r="H76" s="11">
        <f>F76*G76</f>
        <v>0.66</v>
      </c>
    </row>
    <row r="77" spans="1:8" ht="27.6" x14ac:dyDescent="0.3">
      <c r="A77">
        <v>3</v>
      </c>
      <c r="B77" s="1" t="s">
        <v>246</v>
      </c>
      <c r="C77" s="1" t="s">
        <v>283</v>
      </c>
      <c r="D77" s="2" t="s">
        <v>262</v>
      </c>
      <c r="E77" s="1" t="s">
        <v>189</v>
      </c>
      <c r="F77" s="12">
        <v>3</v>
      </c>
      <c r="G77" s="12">
        <v>1.29</v>
      </c>
      <c r="H77" s="11">
        <f>F77*G77</f>
        <v>3.87</v>
      </c>
    </row>
    <row r="78" spans="1:8" ht="27.6" x14ac:dyDescent="0.3">
      <c r="A78">
        <v>3</v>
      </c>
      <c r="B78" s="1" t="s">
        <v>246</v>
      </c>
      <c r="C78" s="1" t="s">
        <v>283</v>
      </c>
      <c r="D78" s="2" t="s">
        <v>261</v>
      </c>
      <c r="E78" s="1" t="s">
        <v>44</v>
      </c>
      <c r="F78" s="12">
        <v>1</v>
      </c>
      <c r="G78" s="12">
        <v>6.61</v>
      </c>
      <c r="H78" s="11">
        <f>F78*G78</f>
        <v>6.61</v>
      </c>
    </row>
    <row r="79" spans="1:8" ht="27.6" x14ac:dyDescent="0.3">
      <c r="A79">
        <v>3</v>
      </c>
      <c r="B79" s="1" t="s">
        <v>246</v>
      </c>
      <c r="C79" s="1" t="s">
        <v>283</v>
      </c>
      <c r="D79" s="2" t="s">
        <v>263</v>
      </c>
      <c r="E79" s="1" t="s">
        <v>264</v>
      </c>
      <c r="F79" s="12">
        <v>1</v>
      </c>
      <c r="G79" s="12">
        <v>9.8800000000000008</v>
      </c>
      <c r="H79" s="11">
        <f>F79*G79</f>
        <v>9.8800000000000008</v>
      </c>
    </row>
    <row r="80" spans="1:8" ht="27.6" x14ac:dyDescent="0.3">
      <c r="A80">
        <v>3</v>
      </c>
      <c r="B80" s="1" t="s">
        <v>246</v>
      </c>
      <c r="C80" s="1" t="s">
        <v>283</v>
      </c>
      <c r="D80" s="2" t="s">
        <v>287</v>
      </c>
      <c r="E80" s="1" t="s">
        <v>173</v>
      </c>
      <c r="F80" s="12">
        <v>8</v>
      </c>
      <c r="G80" s="12">
        <v>0.22</v>
      </c>
      <c r="H80" s="11">
        <f>F80*G80</f>
        <v>1.76</v>
      </c>
    </row>
    <row r="81" spans="1:8" ht="27.6" x14ac:dyDescent="0.3">
      <c r="A81">
        <v>3</v>
      </c>
      <c r="B81" s="1" t="s">
        <v>246</v>
      </c>
      <c r="C81" s="1" t="s">
        <v>283</v>
      </c>
      <c r="D81" s="2" t="s">
        <v>288</v>
      </c>
      <c r="E81" s="1" t="s">
        <v>264</v>
      </c>
      <c r="F81" s="12">
        <v>1</v>
      </c>
      <c r="G81" s="12">
        <v>23.331</v>
      </c>
      <c r="H81" s="11">
        <f>F81*G81</f>
        <v>23.331</v>
      </c>
    </row>
    <row r="82" spans="1:8" ht="27.6" x14ac:dyDescent="0.3">
      <c r="A82">
        <v>3</v>
      </c>
      <c r="B82" s="1" t="s">
        <v>246</v>
      </c>
      <c r="C82" s="1" t="s">
        <v>283</v>
      </c>
      <c r="D82" s="2" t="s">
        <v>289</v>
      </c>
      <c r="E82" s="1" t="s">
        <v>753</v>
      </c>
      <c r="F82" s="12">
        <v>10</v>
      </c>
      <c r="G82" s="12">
        <v>11.399999999999999</v>
      </c>
      <c r="H82" s="11">
        <f>F82*G82</f>
        <v>113.99999999999999</v>
      </c>
    </row>
    <row r="83" spans="1:8" ht="27.6" x14ac:dyDescent="0.3">
      <c r="A83">
        <v>3</v>
      </c>
      <c r="B83" s="1" t="s">
        <v>246</v>
      </c>
      <c r="C83" s="1" t="s">
        <v>283</v>
      </c>
      <c r="D83" s="2" t="s">
        <v>290</v>
      </c>
      <c r="E83" s="1" t="s">
        <v>753</v>
      </c>
      <c r="F83" s="12">
        <v>5</v>
      </c>
      <c r="G83" s="12">
        <v>9.120000000000001</v>
      </c>
      <c r="H83" s="11">
        <f>F83*G83</f>
        <v>45.600000000000009</v>
      </c>
    </row>
    <row r="84" spans="1:8" x14ac:dyDescent="0.3">
      <c r="A84">
        <v>3</v>
      </c>
      <c r="B84" s="1" t="s">
        <v>246</v>
      </c>
      <c r="C84" s="1" t="s">
        <v>283</v>
      </c>
      <c r="D84" s="2" t="s">
        <v>277</v>
      </c>
      <c r="E84" s="1" t="s">
        <v>753</v>
      </c>
      <c r="F84" s="12">
        <v>5</v>
      </c>
      <c r="G84" s="12">
        <v>38</v>
      </c>
      <c r="H84" s="11">
        <f>F84*G84</f>
        <v>190</v>
      </c>
    </row>
    <row r="85" spans="1:8" ht="27.6" x14ac:dyDescent="0.3">
      <c r="A85">
        <v>3</v>
      </c>
      <c r="B85" s="1" t="s">
        <v>246</v>
      </c>
      <c r="C85" s="1" t="s">
        <v>283</v>
      </c>
      <c r="D85" s="2" t="s">
        <v>273</v>
      </c>
      <c r="E85" s="1" t="s">
        <v>753</v>
      </c>
      <c r="F85" s="12">
        <v>5</v>
      </c>
      <c r="G85" s="12">
        <v>30.4</v>
      </c>
      <c r="H85" s="11">
        <f>F85*G85</f>
        <v>152</v>
      </c>
    </row>
    <row r="86" spans="1:8" ht="41.4" x14ac:dyDescent="0.3">
      <c r="A86">
        <v>3</v>
      </c>
      <c r="B86" s="1" t="s">
        <v>246</v>
      </c>
      <c r="C86" s="1" t="s">
        <v>283</v>
      </c>
      <c r="D86" s="2" t="s">
        <v>275</v>
      </c>
      <c r="E86" s="1" t="s">
        <v>44</v>
      </c>
      <c r="F86" s="12">
        <v>1</v>
      </c>
      <c r="G86" s="12">
        <v>1.74</v>
      </c>
      <c r="H86" s="11">
        <f>F86*G86</f>
        <v>1.74</v>
      </c>
    </row>
    <row r="87" spans="1:8" ht="27.6" x14ac:dyDescent="0.3">
      <c r="A87">
        <v>3</v>
      </c>
      <c r="B87" s="1" t="s">
        <v>246</v>
      </c>
      <c r="C87" s="1" t="s">
        <v>283</v>
      </c>
      <c r="D87" s="2" t="s">
        <v>276</v>
      </c>
      <c r="E87" s="1" t="s">
        <v>44</v>
      </c>
      <c r="F87" s="12">
        <v>36</v>
      </c>
      <c r="G87" s="12">
        <v>18.899999999999999</v>
      </c>
      <c r="H87" s="11">
        <f>F87*G87</f>
        <v>680.4</v>
      </c>
    </row>
    <row r="88" spans="1:8" x14ac:dyDescent="0.3">
      <c r="A88">
        <v>3</v>
      </c>
      <c r="B88" s="1" t="s">
        <v>246</v>
      </c>
      <c r="C88" s="1" t="s">
        <v>283</v>
      </c>
      <c r="D88" s="2" t="s">
        <v>257</v>
      </c>
      <c r="E88" s="1" t="s">
        <v>173</v>
      </c>
      <c r="F88" s="12">
        <v>1</v>
      </c>
      <c r="G88" s="12">
        <v>0.22</v>
      </c>
      <c r="H88" s="11">
        <f>F88*G88</f>
        <v>0.22</v>
      </c>
    </row>
  </sheetData>
  <autoFilter ref="A1:G88" xr:uid="{2F8ABD4A-1DF7-404A-944A-327DDB0D861E}"/>
  <conditionalFormatting sqref="B2:G88">
    <cfRule type="expression" dxfId="76" priority="1">
      <formula>$I2&gt;0</formula>
    </cfRule>
  </conditionalFormatting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453B7-C4A5-4B33-AF38-5C7B105C1453}">
  <sheetPr codeName="Лист18">
    <tabColor rgb="FF00B050"/>
  </sheetPr>
  <dimension ref="A1:H13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3</v>
      </c>
      <c r="B2" s="1" t="s">
        <v>291</v>
      </c>
      <c r="C2" s="1" t="s">
        <v>542</v>
      </c>
      <c r="D2" s="2" t="s">
        <v>292</v>
      </c>
      <c r="E2" s="1" t="s">
        <v>21</v>
      </c>
      <c r="F2" s="12">
        <v>15</v>
      </c>
      <c r="G2" s="13"/>
      <c r="H2" s="11"/>
    </row>
    <row r="3" spans="1:8" ht="27.6" x14ac:dyDescent="0.3">
      <c r="A3">
        <v>3</v>
      </c>
      <c r="B3" s="1" t="s">
        <v>291</v>
      </c>
      <c r="C3" s="1" t="s">
        <v>542</v>
      </c>
      <c r="D3" s="2" t="s">
        <v>293</v>
      </c>
      <c r="E3" s="1" t="s">
        <v>21</v>
      </c>
      <c r="F3" s="12">
        <v>1</v>
      </c>
      <c r="G3" s="13">
        <v>615</v>
      </c>
      <c r="H3" s="11">
        <f>F3*G3</f>
        <v>615</v>
      </c>
    </row>
    <row r="4" spans="1:8" ht="41.4" x14ac:dyDescent="0.3">
      <c r="A4">
        <v>3</v>
      </c>
      <c r="B4" s="1" t="s">
        <v>291</v>
      </c>
      <c r="C4" s="1" t="s">
        <v>542</v>
      </c>
      <c r="D4" s="2" t="s">
        <v>294</v>
      </c>
      <c r="E4" s="1" t="s">
        <v>21</v>
      </c>
      <c r="F4" s="12">
        <v>2</v>
      </c>
      <c r="G4" s="13"/>
      <c r="H4" s="11"/>
    </row>
    <row r="5" spans="1:8" ht="27.6" x14ac:dyDescent="0.3">
      <c r="A5">
        <v>2</v>
      </c>
      <c r="B5" s="1" t="s">
        <v>291</v>
      </c>
      <c r="C5" s="1" t="s">
        <v>541</v>
      </c>
      <c r="D5" s="2" t="s">
        <v>295</v>
      </c>
      <c r="E5" s="1" t="s">
        <v>21</v>
      </c>
      <c r="F5" s="12">
        <v>12</v>
      </c>
      <c r="G5" s="13"/>
      <c r="H5" s="11"/>
    </row>
    <row r="6" spans="1:8" ht="27.6" x14ac:dyDescent="0.3">
      <c r="A6">
        <v>2</v>
      </c>
      <c r="B6" s="1" t="s">
        <v>291</v>
      </c>
      <c r="C6" s="1" t="s">
        <v>541</v>
      </c>
      <c r="D6" s="2" t="s">
        <v>296</v>
      </c>
      <c r="E6" s="1" t="s">
        <v>21</v>
      </c>
      <c r="F6" s="12">
        <v>12</v>
      </c>
      <c r="G6" s="13"/>
      <c r="H6" s="11"/>
    </row>
    <row r="7" spans="1:8" x14ac:dyDescent="0.3">
      <c r="A7">
        <v>2</v>
      </c>
      <c r="B7" s="1" t="s">
        <v>291</v>
      </c>
      <c r="C7" s="1" t="s">
        <v>541</v>
      </c>
      <c r="D7" s="2" t="s">
        <v>297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ht="27.6" x14ac:dyDescent="0.3">
      <c r="A8">
        <v>2</v>
      </c>
      <c r="B8" s="1" t="s">
        <v>291</v>
      </c>
      <c r="C8" s="1" t="s">
        <v>541</v>
      </c>
      <c r="D8" s="2" t="s">
        <v>298</v>
      </c>
      <c r="E8" s="1" t="s">
        <v>21</v>
      </c>
      <c r="F8" s="12">
        <v>12</v>
      </c>
      <c r="G8" s="13">
        <v>17</v>
      </c>
      <c r="H8" s="11">
        <f>F8*G8</f>
        <v>204</v>
      </c>
    </row>
    <row r="9" spans="1:8" x14ac:dyDescent="0.3">
      <c r="A9">
        <v>1</v>
      </c>
      <c r="B9" s="1" t="s">
        <v>291</v>
      </c>
      <c r="C9" s="1" t="s">
        <v>540</v>
      </c>
      <c r="D9" s="2" t="s">
        <v>299</v>
      </c>
      <c r="E9" s="1" t="s">
        <v>21</v>
      </c>
      <c r="F9" s="12">
        <v>6.3</v>
      </c>
      <c r="G9" s="13">
        <v>2.2200000000000002</v>
      </c>
      <c r="H9" s="11">
        <f>F9*G9</f>
        <v>13.986000000000001</v>
      </c>
    </row>
    <row r="10" spans="1:8" ht="27.6" x14ac:dyDescent="0.3">
      <c r="A10">
        <v>1</v>
      </c>
      <c r="B10" s="1" t="s">
        <v>291</v>
      </c>
      <c r="C10" s="1" t="s">
        <v>540</v>
      </c>
      <c r="D10" s="2" t="s">
        <v>300</v>
      </c>
      <c r="E10" s="1" t="s">
        <v>21</v>
      </c>
      <c r="F10" s="12">
        <v>6.72</v>
      </c>
      <c r="G10" s="13">
        <v>97.27000000000001</v>
      </c>
      <c r="H10" s="11">
        <f>F10*G10</f>
        <v>653.65440000000001</v>
      </c>
    </row>
    <row r="11" spans="1:8" ht="41.4" x14ac:dyDescent="0.3">
      <c r="A11">
        <v>1</v>
      </c>
      <c r="B11" s="1" t="s">
        <v>291</v>
      </c>
      <c r="C11" s="1" t="s">
        <v>540</v>
      </c>
      <c r="D11" s="2" t="s">
        <v>301</v>
      </c>
      <c r="E11" s="1" t="s">
        <v>21</v>
      </c>
      <c r="F11" s="12">
        <v>0.8</v>
      </c>
      <c r="G11" s="13">
        <v>15.72</v>
      </c>
      <c r="H11" s="11">
        <f>F11*G11</f>
        <v>12.576000000000001</v>
      </c>
    </row>
    <row r="12" spans="1:8" ht="27.6" x14ac:dyDescent="0.3">
      <c r="A12">
        <v>1</v>
      </c>
      <c r="B12" s="1" t="s">
        <v>291</v>
      </c>
      <c r="C12" s="1" t="s">
        <v>540</v>
      </c>
      <c r="D12" s="2" t="s">
        <v>302</v>
      </c>
      <c r="E12" s="1" t="s">
        <v>106</v>
      </c>
      <c r="F12" s="12">
        <v>15</v>
      </c>
      <c r="G12" s="13">
        <v>42.4</v>
      </c>
      <c r="H12" s="11">
        <f>F12*G12</f>
        <v>636</v>
      </c>
    </row>
    <row r="13" spans="1:8" x14ac:dyDescent="0.3">
      <c r="A13">
        <v>1</v>
      </c>
      <c r="B13" s="1" t="s">
        <v>291</v>
      </c>
      <c r="C13" s="1" t="s">
        <v>540</v>
      </c>
      <c r="D13" s="2" t="s">
        <v>303</v>
      </c>
      <c r="E13" s="1" t="s">
        <v>753</v>
      </c>
      <c r="F13" s="12">
        <v>32</v>
      </c>
      <c r="G13" s="13">
        <v>75</v>
      </c>
      <c r="H13" s="11">
        <f>F13*G13</f>
        <v>2400</v>
      </c>
    </row>
  </sheetData>
  <autoFilter ref="A1:G13" xr:uid="{E52453B7-C4A5-4B33-AF38-5C7B105C1453}"/>
  <conditionalFormatting sqref="B2:G13">
    <cfRule type="expression" dxfId="75" priority="1">
      <formula>$I2&gt;0</formula>
    </cfRule>
  </conditionalFormatting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7B899-57BA-40D2-B86D-03ACBFB2C175}">
  <sheetPr codeName="Лист19">
    <tabColor rgb="FF00B050"/>
  </sheetPr>
  <dimension ref="A1:H13"/>
  <sheetViews>
    <sheetView topLeftCell="A13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304</v>
      </c>
      <c r="C2" s="1" t="s">
        <v>544</v>
      </c>
      <c r="D2" s="2" t="s">
        <v>292</v>
      </c>
      <c r="E2" s="1" t="s">
        <v>21</v>
      </c>
      <c r="F2" s="12">
        <v>14</v>
      </c>
      <c r="G2" s="13"/>
      <c r="H2" s="11"/>
    </row>
    <row r="3" spans="1:8" ht="27.6" x14ac:dyDescent="0.3">
      <c r="A3">
        <v>2</v>
      </c>
      <c r="B3" s="1" t="s">
        <v>304</v>
      </c>
      <c r="C3" s="1" t="s">
        <v>544</v>
      </c>
      <c r="D3" s="2" t="s">
        <v>293</v>
      </c>
      <c r="E3" s="1" t="s">
        <v>21</v>
      </c>
      <c r="F3" s="12">
        <v>1</v>
      </c>
      <c r="G3" s="13">
        <v>615</v>
      </c>
      <c r="H3" s="11">
        <f>F3*G3</f>
        <v>615</v>
      </c>
    </row>
    <row r="4" spans="1:8" ht="41.4" x14ac:dyDescent="0.3">
      <c r="A4">
        <v>2</v>
      </c>
      <c r="B4" s="1" t="s">
        <v>304</v>
      </c>
      <c r="C4" s="1" t="s">
        <v>544</v>
      </c>
      <c r="D4" s="2" t="s">
        <v>294</v>
      </c>
      <c r="E4" s="1" t="s">
        <v>21</v>
      </c>
      <c r="F4" s="12">
        <v>2</v>
      </c>
      <c r="G4" s="13"/>
      <c r="H4" s="11"/>
    </row>
    <row r="5" spans="1:8" ht="27.6" x14ac:dyDescent="0.3">
      <c r="A5">
        <v>1</v>
      </c>
      <c r="B5" s="1" t="s">
        <v>304</v>
      </c>
      <c r="C5" s="1" t="s">
        <v>543</v>
      </c>
      <c r="D5" s="2" t="s">
        <v>295</v>
      </c>
      <c r="E5" s="1" t="s">
        <v>21</v>
      </c>
      <c r="F5" s="12">
        <v>11</v>
      </c>
      <c r="G5" s="13"/>
      <c r="H5" s="11"/>
    </row>
    <row r="6" spans="1:8" ht="27.6" x14ac:dyDescent="0.3">
      <c r="A6">
        <v>1</v>
      </c>
      <c r="B6" s="1" t="s">
        <v>304</v>
      </c>
      <c r="C6" s="1" t="s">
        <v>543</v>
      </c>
      <c r="D6" s="2" t="s">
        <v>296</v>
      </c>
      <c r="E6" s="1" t="s">
        <v>21</v>
      </c>
      <c r="F6" s="12">
        <v>11</v>
      </c>
      <c r="G6" s="13"/>
      <c r="H6" s="11"/>
    </row>
    <row r="7" spans="1:8" x14ac:dyDescent="0.3">
      <c r="A7">
        <v>1</v>
      </c>
      <c r="B7" s="1" t="s">
        <v>304</v>
      </c>
      <c r="C7" s="1" t="s">
        <v>543</v>
      </c>
      <c r="D7" s="2" t="s">
        <v>297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ht="27.6" x14ac:dyDescent="0.3">
      <c r="A8">
        <v>1</v>
      </c>
      <c r="B8" s="1" t="s">
        <v>304</v>
      </c>
      <c r="C8" s="1" t="s">
        <v>543</v>
      </c>
      <c r="D8" s="2" t="s">
        <v>298</v>
      </c>
      <c r="E8" s="1" t="s">
        <v>21</v>
      </c>
      <c r="F8" s="12">
        <v>11</v>
      </c>
      <c r="G8" s="13">
        <v>17</v>
      </c>
      <c r="H8" s="11">
        <f>F8*G8</f>
        <v>187</v>
      </c>
    </row>
    <row r="9" spans="1:8" x14ac:dyDescent="0.3">
      <c r="A9">
        <v>3</v>
      </c>
      <c r="B9" s="1" t="s">
        <v>304</v>
      </c>
      <c r="C9" s="1" t="s">
        <v>545</v>
      </c>
      <c r="D9" s="2" t="s">
        <v>299</v>
      </c>
      <c r="E9" s="1" t="s">
        <v>21</v>
      </c>
      <c r="F9" s="12">
        <v>6.3</v>
      </c>
      <c r="G9" s="13">
        <v>2.2200000000000002</v>
      </c>
      <c r="H9" s="11">
        <f>F9*G9</f>
        <v>13.986000000000001</v>
      </c>
    </row>
    <row r="10" spans="1:8" ht="27.6" x14ac:dyDescent="0.3">
      <c r="A10">
        <v>3</v>
      </c>
      <c r="B10" s="1" t="s">
        <v>304</v>
      </c>
      <c r="C10" s="1" t="s">
        <v>545</v>
      </c>
      <c r="D10" s="2" t="s">
        <v>300</v>
      </c>
      <c r="E10" s="1" t="s">
        <v>21</v>
      </c>
      <c r="F10" s="12">
        <v>6.72</v>
      </c>
      <c r="G10" s="13">
        <v>97.27000000000001</v>
      </c>
      <c r="H10" s="11">
        <f>F10*G10</f>
        <v>653.65440000000001</v>
      </c>
    </row>
    <row r="11" spans="1:8" ht="41.4" x14ac:dyDescent="0.3">
      <c r="A11">
        <v>3</v>
      </c>
      <c r="B11" s="1" t="s">
        <v>304</v>
      </c>
      <c r="C11" s="1" t="s">
        <v>545</v>
      </c>
      <c r="D11" s="2" t="s">
        <v>301</v>
      </c>
      <c r="E11" s="1" t="s">
        <v>21</v>
      </c>
      <c r="F11" s="12">
        <v>0.8</v>
      </c>
      <c r="G11" s="13">
        <v>15.72</v>
      </c>
      <c r="H11" s="11">
        <f>F11*G11</f>
        <v>12.576000000000001</v>
      </c>
    </row>
    <row r="12" spans="1:8" ht="27.6" x14ac:dyDescent="0.3">
      <c r="A12">
        <v>3</v>
      </c>
      <c r="B12" s="1" t="s">
        <v>304</v>
      </c>
      <c r="C12" s="1" t="s">
        <v>545</v>
      </c>
      <c r="D12" s="2" t="s">
        <v>302</v>
      </c>
      <c r="E12" s="1" t="s">
        <v>106</v>
      </c>
      <c r="F12" s="12">
        <v>15</v>
      </c>
      <c r="G12" s="13">
        <v>42.4</v>
      </c>
      <c r="H12" s="11">
        <f>F12*G12</f>
        <v>636</v>
      </c>
    </row>
    <row r="13" spans="1:8" x14ac:dyDescent="0.3">
      <c r="A13">
        <v>3</v>
      </c>
      <c r="B13" s="1" t="s">
        <v>304</v>
      </c>
      <c r="C13" s="1" t="s">
        <v>545</v>
      </c>
      <c r="D13" s="2" t="s">
        <v>303</v>
      </c>
      <c r="E13" s="1" t="s">
        <v>753</v>
      </c>
      <c r="F13" s="12">
        <v>32</v>
      </c>
      <c r="G13" s="13">
        <v>75</v>
      </c>
      <c r="H13" s="11">
        <f>F13*G13</f>
        <v>2400</v>
      </c>
    </row>
  </sheetData>
  <autoFilter ref="A1:G13" xr:uid="{9BD7B899-57BA-40D2-B86D-03ACBFB2C175}"/>
  <conditionalFormatting sqref="B2:G13">
    <cfRule type="expression" dxfId="74" priority="1">
      <formula>$I2&gt;0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DA3A8-07A7-4CA5-BDC7-1E48E599F1E8}">
  <sheetPr codeName="Лист20">
    <tabColor rgb="FF00B050"/>
  </sheetPr>
  <dimension ref="A1:H5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1</v>
      </c>
      <c r="B2" s="1" t="s">
        <v>352</v>
      </c>
      <c r="C2" s="1" t="s">
        <v>607</v>
      </c>
      <c r="D2" s="2" t="s">
        <v>348</v>
      </c>
      <c r="E2" s="1" t="s">
        <v>21</v>
      </c>
      <c r="F2" s="12">
        <v>127</v>
      </c>
      <c r="G2" s="13"/>
      <c r="H2" s="11"/>
    </row>
    <row r="3" spans="1:8" ht="27.6" x14ac:dyDescent="0.3">
      <c r="A3">
        <v>1</v>
      </c>
      <c r="B3" s="1" t="s">
        <v>352</v>
      </c>
      <c r="C3" s="1" t="s">
        <v>607</v>
      </c>
      <c r="D3" s="2" t="s">
        <v>349</v>
      </c>
      <c r="E3" s="1" t="s">
        <v>21</v>
      </c>
      <c r="F3" s="12">
        <v>127</v>
      </c>
      <c r="G3" s="13"/>
      <c r="H3" s="11"/>
    </row>
    <row r="4" spans="1:8" x14ac:dyDescent="0.3">
      <c r="A4">
        <v>1</v>
      </c>
      <c r="B4" s="1" t="s">
        <v>352</v>
      </c>
      <c r="C4" s="1" t="s">
        <v>607</v>
      </c>
      <c r="D4" s="2" t="s">
        <v>350</v>
      </c>
      <c r="E4" s="1" t="s">
        <v>21</v>
      </c>
      <c r="F4" s="12">
        <v>127</v>
      </c>
      <c r="G4" s="13">
        <v>30</v>
      </c>
      <c r="H4" s="11">
        <f>F4*G4</f>
        <v>3810</v>
      </c>
    </row>
    <row r="5" spans="1:8" ht="27.6" x14ac:dyDescent="0.3">
      <c r="A5">
        <v>1</v>
      </c>
      <c r="B5" s="1" t="s">
        <v>352</v>
      </c>
      <c r="C5" s="1" t="s">
        <v>607</v>
      </c>
      <c r="D5" s="2" t="s">
        <v>351</v>
      </c>
      <c r="E5" s="1" t="s">
        <v>106</v>
      </c>
      <c r="F5" s="12">
        <v>208</v>
      </c>
      <c r="G5" s="13">
        <v>2</v>
      </c>
      <c r="H5" s="11">
        <f>F5*G5</f>
        <v>416</v>
      </c>
    </row>
  </sheetData>
  <autoFilter ref="A1:G1" xr:uid="{913DA3A8-07A7-4CA5-BDC7-1E48E599F1E8}"/>
  <conditionalFormatting sqref="B2:G5">
    <cfRule type="expression" dxfId="73" priority="1">
      <formula>$I2&gt;0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48294-6DF2-40CB-BB4F-8E12AC56D1F1}">
  <sheetPr codeName="Лист21">
    <tabColor rgb="FF00B050"/>
  </sheetPr>
  <dimension ref="A1:H14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41.4" x14ac:dyDescent="0.3">
      <c r="A2">
        <v>3</v>
      </c>
      <c r="B2" s="1" t="s">
        <v>380</v>
      </c>
      <c r="C2" s="1" t="s">
        <v>611</v>
      </c>
      <c r="D2" s="2" t="s">
        <v>346</v>
      </c>
      <c r="E2" s="1" t="s">
        <v>21</v>
      </c>
      <c r="F2" s="12">
        <v>95</v>
      </c>
      <c r="G2" s="13"/>
      <c r="H2" s="11"/>
    </row>
    <row r="3" spans="1:8" ht="41.4" x14ac:dyDescent="0.3">
      <c r="A3">
        <v>3</v>
      </c>
      <c r="B3" s="1" t="s">
        <v>380</v>
      </c>
      <c r="C3" s="1" t="s">
        <v>611</v>
      </c>
      <c r="D3" s="2" t="s">
        <v>361</v>
      </c>
      <c r="E3" s="1" t="s">
        <v>21</v>
      </c>
      <c r="F3" s="12">
        <v>59</v>
      </c>
      <c r="G3" s="13"/>
      <c r="H3" s="11"/>
    </row>
    <row r="4" spans="1:8" x14ac:dyDescent="0.3">
      <c r="A4">
        <v>3</v>
      </c>
      <c r="B4" s="1" t="s">
        <v>380</v>
      </c>
      <c r="C4" s="1" t="s">
        <v>611</v>
      </c>
      <c r="D4" s="2" t="s">
        <v>79</v>
      </c>
      <c r="E4" s="1" t="s">
        <v>21</v>
      </c>
      <c r="F4" s="12">
        <v>59</v>
      </c>
      <c r="G4" s="13"/>
      <c r="H4" s="11"/>
    </row>
    <row r="5" spans="1:8" ht="27.6" x14ac:dyDescent="0.3">
      <c r="A5">
        <v>4</v>
      </c>
      <c r="B5" s="1" t="s">
        <v>380</v>
      </c>
      <c r="C5" s="1" t="s">
        <v>612</v>
      </c>
      <c r="D5" s="2" t="s">
        <v>348</v>
      </c>
      <c r="E5" s="1" t="s">
        <v>21</v>
      </c>
      <c r="F5" s="12">
        <v>205</v>
      </c>
      <c r="G5" s="13"/>
      <c r="H5" s="11"/>
    </row>
    <row r="6" spans="1:8" ht="27.6" x14ac:dyDescent="0.3">
      <c r="A6">
        <v>4</v>
      </c>
      <c r="B6" s="1" t="s">
        <v>380</v>
      </c>
      <c r="C6" s="1" t="s">
        <v>612</v>
      </c>
      <c r="D6" s="2" t="s">
        <v>349</v>
      </c>
      <c r="E6" s="1" t="s">
        <v>21</v>
      </c>
      <c r="F6" s="12">
        <v>205</v>
      </c>
      <c r="G6" s="13"/>
      <c r="H6" s="11"/>
    </row>
    <row r="7" spans="1:8" x14ac:dyDescent="0.3">
      <c r="A7">
        <v>4</v>
      </c>
      <c r="B7" s="1" t="s">
        <v>380</v>
      </c>
      <c r="C7" s="1" t="s">
        <v>612</v>
      </c>
      <c r="D7" s="2" t="s">
        <v>350</v>
      </c>
      <c r="E7" s="1" t="s">
        <v>21</v>
      </c>
      <c r="F7" s="12">
        <v>205</v>
      </c>
      <c r="G7" s="13">
        <v>30</v>
      </c>
      <c r="H7" s="11">
        <f>F7*G7</f>
        <v>6150</v>
      </c>
    </row>
    <row r="8" spans="1:8" ht="27.6" x14ac:dyDescent="0.3">
      <c r="A8">
        <v>4</v>
      </c>
      <c r="B8" s="1" t="s">
        <v>380</v>
      </c>
      <c r="C8" s="1" t="s">
        <v>612</v>
      </c>
      <c r="D8" s="2" t="s">
        <v>351</v>
      </c>
      <c r="E8" s="1" t="s">
        <v>106</v>
      </c>
      <c r="F8" s="12">
        <v>198</v>
      </c>
      <c r="G8" s="13">
        <v>2</v>
      </c>
      <c r="H8" s="11">
        <f>F8*G8</f>
        <v>396</v>
      </c>
    </row>
    <row r="9" spans="1:8" ht="27.6" x14ac:dyDescent="0.3">
      <c r="A9">
        <v>2</v>
      </c>
      <c r="B9" s="1" t="s">
        <v>380</v>
      </c>
      <c r="C9" s="1" t="s">
        <v>610</v>
      </c>
      <c r="D9" s="2" t="s">
        <v>353</v>
      </c>
      <c r="E9" s="1" t="s">
        <v>106</v>
      </c>
      <c r="F9" s="12">
        <v>44</v>
      </c>
      <c r="G9" s="13"/>
      <c r="H9" s="11"/>
    </row>
    <row r="10" spans="1:8" ht="27.6" x14ac:dyDescent="0.3">
      <c r="A10">
        <v>1</v>
      </c>
      <c r="B10" s="1" t="s">
        <v>380</v>
      </c>
      <c r="C10" s="1" t="s">
        <v>609</v>
      </c>
      <c r="D10" s="2" t="s">
        <v>354</v>
      </c>
      <c r="E10" s="1" t="s">
        <v>21</v>
      </c>
      <c r="F10" s="12">
        <v>108</v>
      </c>
      <c r="G10" s="13"/>
      <c r="H10" s="11"/>
    </row>
    <row r="11" spans="1:8" ht="27.6" x14ac:dyDescent="0.3">
      <c r="A11">
        <v>1</v>
      </c>
      <c r="B11" s="1" t="s">
        <v>380</v>
      </c>
      <c r="C11" s="1" t="s">
        <v>609</v>
      </c>
      <c r="D11" s="2" t="s">
        <v>355</v>
      </c>
      <c r="E11" s="1" t="s">
        <v>21</v>
      </c>
      <c r="F11" s="12">
        <v>108</v>
      </c>
      <c r="G11" s="13"/>
      <c r="H11" s="11"/>
    </row>
    <row r="12" spans="1:8" ht="27.6" x14ac:dyDescent="0.3">
      <c r="A12">
        <v>1</v>
      </c>
      <c r="B12" s="1" t="s">
        <v>380</v>
      </c>
      <c r="C12" s="1" t="s">
        <v>609</v>
      </c>
      <c r="D12" s="2" t="s">
        <v>356</v>
      </c>
      <c r="E12" s="1" t="s">
        <v>21</v>
      </c>
      <c r="F12" s="12">
        <v>108</v>
      </c>
      <c r="G12" s="13">
        <v>17</v>
      </c>
      <c r="H12" s="11">
        <f>F12*G12</f>
        <v>1836</v>
      </c>
    </row>
    <row r="13" spans="1:8" ht="27.6" x14ac:dyDescent="0.3">
      <c r="A13">
        <v>1</v>
      </c>
      <c r="B13" s="1" t="s">
        <v>380</v>
      </c>
      <c r="C13" s="1" t="s">
        <v>609</v>
      </c>
      <c r="D13" s="2" t="s">
        <v>357</v>
      </c>
      <c r="E13" s="1" t="s">
        <v>106</v>
      </c>
      <c r="F13" s="12">
        <v>241</v>
      </c>
      <c r="G13" s="13">
        <v>123</v>
      </c>
      <c r="H13" s="11">
        <f>F13*G13</f>
        <v>29643</v>
      </c>
    </row>
    <row r="14" spans="1:8" ht="27.6" x14ac:dyDescent="0.3">
      <c r="A14">
        <v>1</v>
      </c>
      <c r="B14" s="1" t="s">
        <v>380</v>
      </c>
      <c r="C14" s="1" t="s">
        <v>609</v>
      </c>
      <c r="D14" s="2" t="s">
        <v>358</v>
      </c>
      <c r="E14" s="1" t="s">
        <v>106</v>
      </c>
      <c r="F14" s="12">
        <v>241</v>
      </c>
      <c r="G14" s="13">
        <v>33.199999999999996</v>
      </c>
      <c r="H14" s="11">
        <f>F14*G14</f>
        <v>8001.1999999999989</v>
      </c>
    </row>
  </sheetData>
  <autoFilter ref="A1:G14" xr:uid="{E7148294-6DF2-40CB-BB4F-8E12AC56D1F1}"/>
  <conditionalFormatting sqref="B2:G14">
    <cfRule type="expression" dxfId="72" priority="1">
      <formula>$I2&gt;0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9AE7-029F-4358-A235-2B653A8F914C}">
  <sheetPr codeName="Лист22">
    <tabColor rgb="FF00B050"/>
  </sheetPr>
  <dimension ref="A1:H11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3</v>
      </c>
      <c r="B2" s="1" t="s">
        <v>381</v>
      </c>
      <c r="C2" s="1" t="s">
        <v>615</v>
      </c>
      <c r="D2" s="2" t="s">
        <v>348</v>
      </c>
      <c r="E2" s="1" t="s">
        <v>21</v>
      </c>
      <c r="F2" s="12">
        <v>115</v>
      </c>
      <c r="G2" s="13"/>
      <c r="H2" s="11"/>
    </row>
    <row r="3" spans="1:8" ht="27.6" x14ac:dyDescent="0.3">
      <c r="A3">
        <v>3</v>
      </c>
      <c r="B3" s="1" t="s">
        <v>381</v>
      </c>
      <c r="C3" s="1" t="s">
        <v>615</v>
      </c>
      <c r="D3" s="2" t="s">
        <v>349</v>
      </c>
      <c r="E3" s="1" t="s">
        <v>21</v>
      </c>
      <c r="F3" s="12">
        <v>115</v>
      </c>
      <c r="G3" s="13"/>
      <c r="H3" s="11"/>
    </row>
    <row r="4" spans="1:8" x14ac:dyDescent="0.3">
      <c r="A4">
        <v>3</v>
      </c>
      <c r="B4" s="1" t="s">
        <v>381</v>
      </c>
      <c r="C4" s="1" t="s">
        <v>615</v>
      </c>
      <c r="D4" s="2" t="s">
        <v>350</v>
      </c>
      <c r="E4" s="1" t="s">
        <v>21</v>
      </c>
      <c r="F4" s="12">
        <v>115</v>
      </c>
      <c r="G4" s="13">
        <v>30</v>
      </c>
      <c r="H4" s="11">
        <f>F4*G4</f>
        <v>3450</v>
      </c>
    </row>
    <row r="5" spans="1:8" ht="27.6" x14ac:dyDescent="0.3">
      <c r="A5">
        <v>3</v>
      </c>
      <c r="B5" s="1" t="s">
        <v>381</v>
      </c>
      <c r="C5" s="1" t="s">
        <v>615</v>
      </c>
      <c r="D5" s="2" t="s">
        <v>351</v>
      </c>
      <c r="E5" s="1" t="s">
        <v>106</v>
      </c>
      <c r="F5" s="12">
        <v>204</v>
      </c>
      <c r="G5" s="13">
        <v>2</v>
      </c>
      <c r="H5" s="11">
        <f>F5*G5</f>
        <v>408</v>
      </c>
    </row>
    <row r="6" spans="1:8" ht="27.6" x14ac:dyDescent="0.3">
      <c r="A6">
        <v>2</v>
      </c>
      <c r="B6" s="1" t="s">
        <v>381</v>
      </c>
      <c r="C6" s="1" t="s">
        <v>614</v>
      </c>
      <c r="D6" s="2" t="s">
        <v>353</v>
      </c>
      <c r="E6" s="1" t="s">
        <v>106</v>
      </c>
      <c r="F6" s="12">
        <v>50</v>
      </c>
      <c r="G6" s="13"/>
      <c r="H6" s="11"/>
    </row>
    <row r="7" spans="1:8" ht="27.6" x14ac:dyDescent="0.3">
      <c r="A7">
        <v>1</v>
      </c>
      <c r="B7" s="1" t="s">
        <v>381</v>
      </c>
      <c r="C7" s="1" t="s">
        <v>613</v>
      </c>
      <c r="D7" s="2" t="s">
        <v>354</v>
      </c>
      <c r="E7" s="1" t="s">
        <v>21</v>
      </c>
      <c r="F7" s="12">
        <v>113</v>
      </c>
      <c r="G7" s="13"/>
      <c r="H7" s="11"/>
    </row>
    <row r="8" spans="1:8" ht="27.6" x14ac:dyDescent="0.3">
      <c r="A8">
        <v>1</v>
      </c>
      <c r="B8" s="1" t="s">
        <v>381</v>
      </c>
      <c r="C8" s="1" t="s">
        <v>613</v>
      </c>
      <c r="D8" s="2" t="s">
        <v>355</v>
      </c>
      <c r="E8" s="1" t="s">
        <v>21</v>
      </c>
      <c r="F8" s="12">
        <v>113</v>
      </c>
      <c r="G8" s="13"/>
      <c r="H8" s="11"/>
    </row>
    <row r="9" spans="1:8" ht="27.6" x14ac:dyDescent="0.3">
      <c r="A9">
        <v>1</v>
      </c>
      <c r="B9" s="1" t="s">
        <v>381</v>
      </c>
      <c r="C9" s="1" t="s">
        <v>613</v>
      </c>
      <c r="D9" s="2" t="s">
        <v>356</v>
      </c>
      <c r="E9" s="1" t="s">
        <v>21</v>
      </c>
      <c r="F9" s="12">
        <v>112.99999999999999</v>
      </c>
      <c r="G9" s="13">
        <v>17.000000000000004</v>
      </c>
      <c r="H9" s="11">
        <f>F9*G9</f>
        <v>1921.0000000000002</v>
      </c>
    </row>
    <row r="10" spans="1:8" ht="27.6" x14ac:dyDescent="0.3">
      <c r="A10">
        <v>1</v>
      </c>
      <c r="B10" s="1" t="s">
        <v>381</v>
      </c>
      <c r="C10" s="1" t="s">
        <v>613</v>
      </c>
      <c r="D10" s="2" t="s">
        <v>357</v>
      </c>
      <c r="E10" s="1" t="s">
        <v>106</v>
      </c>
      <c r="F10" s="12">
        <v>252</v>
      </c>
      <c r="G10" s="13">
        <v>123</v>
      </c>
      <c r="H10" s="11">
        <f>F10*G10</f>
        <v>30996</v>
      </c>
    </row>
    <row r="11" spans="1:8" ht="27.6" x14ac:dyDescent="0.3">
      <c r="A11">
        <v>1</v>
      </c>
      <c r="B11" s="1" t="s">
        <v>381</v>
      </c>
      <c r="C11" s="1" t="s">
        <v>613</v>
      </c>
      <c r="D11" s="2" t="s">
        <v>358</v>
      </c>
      <c r="E11" s="1" t="s">
        <v>106</v>
      </c>
      <c r="F11" s="12">
        <v>252</v>
      </c>
      <c r="G11" s="13">
        <v>33.199999999999996</v>
      </c>
      <c r="H11" s="11">
        <f>F11*G11</f>
        <v>8366.4</v>
      </c>
    </row>
  </sheetData>
  <autoFilter ref="A1:G11" xr:uid="{59D79AE7-029F-4358-A235-2B653A8F914C}"/>
  <conditionalFormatting sqref="B2:G11">
    <cfRule type="expression" dxfId="71" priority="1">
      <formula>$I2&gt;0</formula>
    </cfRule>
  </conditionalFormatting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692BC-31F4-4179-AD96-9E9A4AC08186}">
  <sheetPr codeName="Лист23">
    <tabColor rgb="FF00B050"/>
  </sheetPr>
  <dimension ref="A1:H9"/>
  <sheetViews>
    <sheetView topLeftCell="A7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41.4" x14ac:dyDescent="0.3">
      <c r="A2">
        <v>3</v>
      </c>
      <c r="B2" s="1" t="s">
        <v>382</v>
      </c>
      <c r="C2" s="1" t="s">
        <v>618</v>
      </c>
      <c r="D2" s="2" t="s">
        <v>346</v>
      </c>
      <c r="E2" s="1" t="s">
        <v>21</v>
      </c>
      <c r="F2" s="12">
        <v>196</v>
      </c>
      <c r="G2" s="13"/>
      <c r="H2" s="11"/>
    </row>
    <row r="3" spans="1:8" ht="41.4" x14ac:dyDescent="0.3">
      <c r="A3">
        <v>3</v>
      </c>
      <c r="B3" s="1" t="s">
        <v>382</v>
      </c>
      <c r="C3" s="1" t="s">
        <v>618</v>
      </c>
      <c r="D3" s="2" t="s">
        <v>361</v>
      </c>
      <c r="E3" s="1" t="s">
        <v>21</v>
      </c>
      <c r="F3" s="12">
        <v>188</v>
      </c>
      <c r="G3" s="13"/>
      <c r="H3" s="11"/>
    </row>
    <row r="4" spans="1:8" x14ac:dyDescent="0.3">
      <c r="A4">
        <v>3</v>
      </c>
      <c r="B4" s="1" t="s">
        <v>382</v>
      </c>
      <c r="C4" s="1" t="s">
        <v>618</v>
      </c>
      <c r="D4" s="2" t="s">
        <v>79</v>
      </c>
      <c r="E4" s="1" t="s">
        <v>21</v>
      </c>
      <c r="F4" s="12">
        <v>188</v>
      </c>
      <c r="G4" s="13"/>
      <c r="H4" s="11"/>
    </row>
    <row r="5" spans="1:8" ht="27.6" x14ac:dyDescent="0.3">
      <c r="A5">
        <v>2</v>
      </c>
      <c r="B5" s="1" t="s">
        <v>382</v>
      </c>
      <c r="C5" s="1" t="s">
        <v>617</v>
      </c>
      <c r="D5" s="2" t="s">
        <v>348</v>
      </c>
      <c r="E5" s="1" t="s">
        <v>21</v>
      </c>
      <c r="F5" s="12">
        <v>320</v>
      </c>
      <c r="G5" s="13"/>
      <c r="H5" s="11"/>
    </row>
    <row r="6" spans="1:8" ht="27.6" x14ac:dyDescent="0.3">
      <c r="A6">
        <v>2</v>
      </c>
      <c r="B6" s="1" t="s">
        <v>382</v>
      </c>
      <c r="C6" s="1" t="s">
        <v>617</v>
      </c>
      <c r="D6" s="2" t="s">
        <v>349</v>
      </c>
      <c r="E6" s="1" t="s">
        <v>21</v>
      </c>
      <c r="F6" s="12">
        <v>320</v>
      </c>
      <c r="G6" s="13"/>
      <c r="H6" s="11"/>
    </row>
    <row r="7" spans="1:8" x14ac:dyDescent="0.3">
      <c r="A7">
        <v>2</v>
      </c>
      <c r="B7" s="1" t="s">
        <v>382</v>
      </c>
      <c r="C7" s="1" t="s">
        <v>617</v>
      </c>
      <c r="D7" s="2" t="s">
        <v>350</v>
      </c>
      <c r="E7" s="1" t="s">
        <v>21</v>
      </c>
      <c r="F7" s="12">
        <v>320</v>
      </c>
      <c r="G7" s="13">
        <v>30</v>
      </c>
      <c r="H7" s="11">
        <f>F7*G7</f>
        <v>9600</v>
      </c>
    </row>
    <row r="8" spans="1:8" ht="27.6" x14ac:dyDescent="0.3">
      <c r="A8">
        <v>2</v>
      </c>
      <c r="B8" s="1" t="s">
        <v>382</v>
      </c>
      <c r="C8" s="1" t="s">
        <v>617</v>
      </c>
      <c r="D8" s="2" t="s">
        <v>351</v>
      </c>
      <c r="E8" s="1" t="s">
        <v>106</v>
      </c>
      <c r="F8" s="12">
        <v>205</v>
      </c>
      <c r="G8" s="13">
        <v>2</v>
      </c>
      <c r="H8" s="11">
        <f>F8*G8</f>
        <v>410</v>
      </c>
    </row>
    <row r="9" spans="1:8" ht="27.6" x14ac:dyDescent="0.3">
      <c r="A9">
        <v>1</v>
      </c>
      <c r="B9" s="1" t="s">
        <v>382</v>
      </c>
      <c r="C9" s="1" t="s">
        <v>616</v>
      </c>
      <c r="D9" s="2" t="s">
        <v>353</v>
      </c>
      <c r="E9" s="1" t="s">
        <v>106</v>
      </c>
      <c r="F9" s="12">
        <v>51</v>
      </c>
      <c r="G9" s="13"/>
      <c r="H9" s="11"/>
    </row>
  </sheetData>
  <autoFilter ref="A1:G9" xr:uid="{FDB692BC-31F4-4179-AD96-9E9A4AC08186}"/>
  <conditionalFormatting sqref="B2:G9">
    <cfRule type="expression" dxfId="70" priority="1">
      <formula>$I2&gt;0</formula>
    </cfRule>
  </conditionalFormatting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22A2E-2333-43F0-BD7B-35EF97CF2966}">
  <sheetPr codeName="Лист24">
    <tabColor rgb="FF00B050"/>
  </sheetPr>
  <dimension ref="A1:H1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41.4" x14ac:dyDescent="0.3">
      <c r="A2">
        <v>3</v>
      </c>
      <c r="B2" s="1" t="s">
        <v>383</v>
      </c>
      <c r="C2" s="1" t="s">
        <v>621</v>
      </c>
      <c r="D2" s="2" t="s">
        <v>346</v>
      </c>
      <c r="E2" s="1" t="s">
        <v>21</v>
      </c>
      <c r="F2" s="12">
        <v>182</v>
      </c>
      <c r="G2" s="13"/>
      <c r="H2" s="11"/>
    </row>
    <row r="3" spans="1:8" ht="41.4" x14ac:dyDescent="0.3">
      <c r="A3">
        <v>3</v>
      </c>
      <c r="B3" s="1" t="s">
        <v>383</v>
      </c>
      <c r="C3" s="1" t="s">
        <v>621</v>
      </c>
      <c r="D3" s="2" t="s">
        <v>361</v>
      </c>
      <c r="E3" s="1" t="s">
        <v>21</v>
      </c>
      <c r="F3" s="12">
        <v>177</v>
      </c>
      <c r="G3" s="13"/>
      <c r="H3" s="11"/>
    </row>
    <row r="4" spans="1:8" x14ac:dyDescent="0.3">
      <c r="A4">
        <v>3</v>
      </c>
      <c r="B4" s="1" t="s">
        <v>383</v>
      </c>
      <c r="C4" s="1" t="s">
        <v>621</v>
      </c>
      <c r="D4" s="2" t="s">
        <v>79</v>
      </c>
      <c r="E4" s="1" t="s">
        <v>21</v>
      </c>
      <c r="F4" s="12">
        <v>177</v>
      </c>
      <c r="G4" s="13"/>
      <c r="H4" s="11"/>
    </row>
    <row r="5" spans="1:8" ht="27.6" x14ac:dyDescent="0.3">
      <c r="A5">
        <v>2</v>
      </c>
      <c r="B5" s="1" t="s">
        <v>383</v>
      </c>
      <c r="C5" s="1" t="s">
        <v>620</v>
      </c>
      <c r="D5" s="2" t="s">
        <v>348</v>
      </c>
      <c r="E5" s="1" t="s">
        <v>21</v>
      </c>
      <c r="F5" s="12">
        <v>266</v>
      </c>
      <c r="G5" s="13"/>
      <c r="H5" s="11"/>
    </row>
    <row r="6" spans="1:8" ht="27.6" x14ac:dyDescent="0.3">
      <c r="A6">
        <v>2</v>
      </c>
      <c r="B6" s="1" t="s">
        <v>383</v>
      </c>
      <c r="C6" s="1" t="s">
        <v>620</v>
      </c>
      <c r="D6" s="2" t="s">
        <v>349</v>
      </c>
      <c r="E6" s="1" t="s">
        <v>21</v>
      </c>
      <c r="F6" s="12">
        <v>266</v>
      </c>
      <c r="G6" s="13"/>
      <c r="H6" s="11"/>
    </row>
    <row r="7" spans="1:8" x14ac:dyDescent="0.3">
      <c r="A7">
        <v>2</v>
      </c>
      <c r="B7" s="1" t="s">
        <v>383</v>
      </c>
      <c r="C7" s="1" t="s">
        <v>620</v>
      </c>
      <c r="D7" s="2" t="s">
        <v>350</v>
      </c>
      <c r="E7" s="1" t="s">
        <v>21</v>
      </c>
      <c r="F7" s="12">
        <v>266</v>
      </c>
      <c r="G7" s="13">
        <v>30</v>
      </c>
      <c r="H7" s="11">
        <f>F7*G7</f>
        <v>7980</v>
      </c>
    </row>
    <row r="8" spans="1:8" ht="27.6" x14ac:dyDescent="0.3">
      <c r="A8">
        <v>2</v>
      </c>
      <c r="B8" s="1" t="s">
        <v>383</v>
      </c>
      <c r="C8" s="1" t="s">
        <v>620</v>
      </c>
      <c r="D8" s="2" t="s">
        <v>351</v>
      </c>
      <c r="E8" s="1" t="s">
        <v>106</v>
      </c>
      <c r="F8" s="12">
        <v>188</v>
      </c>
      <c r="G8" s="13">
        <v>2</v>
      </c>
      <c r="H8" s="11">
        <f>F8*G8</f>
        <v>376</v>
      </c>
    </row>
    <row r="9" spans="1:8" ht="27.6" x14ac:dyDescent="0.3">
      <c r="A9">
        <v>1</v>
      </c>
      <c r="B9" s="1" t="s">
        <v>383</v>
      </c>
      <c r="C9" s="1" t="s">
        <v>619</v>
      </c>
      <c r="D9" s="2" t="s">
        <v>353</v>
      </c>
      <c r="E9" s="1" t="s">
        <v>106</v>
      </c>
      <c r="F9" s="12">
        <v>34</v>
      </c>
      <c r="G9" s="13"/>
      <c r="H9" s="11"/>
    </row>
    <row r="10" spans="1:8" ht="27.6" x14ac:dyDescent="0.3">
      <c r="A10">
        <v>1</v>
      </c>
      <c r="B10" s="1" t="s">
        <v>383</v>
      </c>
      <c r="C10" s="1" t="s">
        <v>619</v>
      </c>
      <c r="D10" s="2" t="s">
        <v>353</v>
      </c>
      <c r="E10" s="1" t="s">
        <v>106</v>
      </c>
      <c r="F10" s="12">
        <v>34</v>
      </c>
      <c r="G10" s="13"/>
      <c r="H10" s="11"/>
    </row>
  </sheetData>
  <autoFilter ref="A1:G10" xr:uid="{D7622A2E-2333-43F0-BD7B-35EF97CF2966}"/>
  <conditionalFormatting sqref="B2:G10">
    <cfRule type="expression" dxfId="69" priority="1">
      <formula>$I2&gt;0</formula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A5951-F265-46DD-BE86-BFDB0B0FBDD3}">
  <sheetPr codeName="Лист25">
    <tabColor rgb="FF00B050"/>
  </sheetPr>
  <dimension ref="A1:H14"/>
  <sheetViews>
    <sheetView topLeftCell="A13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41.4" x14ac:dyDescent="0.3">
      <c r="A2">
        <v>4</v>
      </c>
      <c r="B2" s="1" t="s">
        <v>384</v>
      </c>
      <c r="C2" s="1" t="s">
        <v>625</v>
      </c>
      <c r="D2" s="2" t="s">
        <v>346</v>
      </c>
      <c r="E2" s="1" t="s">
        <v>21</v>
      </c>
      <c r="F2" s="12">
        <v>172</v>
      </c>
      <c r="G2" s="13"/>
      <c r="H2" s="11"/>
    </row>
    <row r="3" spans="1:8" ht="41.4" x14ac:dyDescent="0.3">
      <c r="A3">
        <v>4</v>
      </c>
      <c r="B3" s="1" t="s">
        <v>384</v>
      </c>
      <c r="C3" s="1" t="s">
        <v>625</v>
      </c>
      <c r="D3" s="2" t="s">
        <v>347</v>
      </c>
      <c r="E3" s="1" t="s">
        <v>21</v>
      </c>
      <c r="F3" s="12">
        <v>134</v>
      </c>
      <c r="G3" s="13"/>
      <c r="H3" s="11"/>
    </row>
    <row r="4" spans="1:8" x14ac:dyDescent="0.3">
      <c r="A4">
        <v>4</v>
      </c>
      <c r="B4" s="1" t="s">
        <v>384</v>
      </c>
      <c r="C4" s="1" t="s">
        <v>625</v>
      </c>
      <c r="D4" s="2" t="s">
        <v>79</v>
      </c>
      <c r="E4" s="1" t="s">
        <v>21</v>
      </c>
      <c r="F4" s="12">
        <v>134</v>
      </c>
      <c r="G4" s="13"/>
      <c r="H4" s="11"/>
    </row>
    <row r="5" spans="1:8" ht="27.6" x14ac:dyDescent="0.3">
      <c r="A5">
        <v>3</v>
      </c>
      <c r="B5" s="1" t="s">
        <v>384</v>
      </c>
      <c r="C5" s="1" t="s">
        <v>624</v>
      </c>
      <c r="D5" s="2" t="s">
        <v>348</v>
      </c>
      <c r="E5" s="1" t="s">
        <v>21</v>
      </c>
      <c r="F5" s="12">
        <v>290</v>
      </c>
      <c r="G5" s="13"/>
      <c r="H5" s="11"/>
    </row>
    <row r="6" spans="1:8" ht="27.6" x14ac:dyDescent="0.3">
      <c r="A6">
        <v>3</v>
      </c>
      <c r="B6" s="1" t="s">
        <v>384</v>
      </c>
      <c r="C6" s="1" t="s">
        <v>624</v>
      </c>
      <c r="D6" s="2" t="s">
        <v>349</v>
      </c>
      <c r="E6" s="1" t="s">
        <v>21</v>
      </c>
      <c r="F6" s="12">
        <v>290</v>
      </c>
      <c r="G6" s="13"/>
      <c r="H6" s="11"/>
    </row>
    <row r="7" spans="1:8" x14ac:dyDescent="0.3">
      <c r="A7">
        <v>3</v>
      </c>
      <c r="B7" s="1" t="s">
        <v>384</v>
      </c>
      <c r="C7" s="1" t="s">
        <v>624</v>
      </c>
      <c r="D7" s="2" t="s">
        <v>350</v>
      </c>
      <c r="E7" s="1" t="s">
        <v>21</v>
      </c>
      <c r="F7" s="12">
        <v>290</v>
      </c>
      <c r="G7" s="13">
        <v>30</v>
      </c>
      <c r="H7" s="11">
        <f>F7*G7</f>
        <v>8700</v>
      </c>
    </row>
    <row r="8" spans="1:8" ht="27.6" x14ac:dyDescent="0.3">
      <c r="A8">
        <v>3</v>
      </c>
      <c r="B8" s="1" t="s">
        <v>384</v>
      </c>
      <c r="C8" s="1" t="s">
        <v>624</v>
      </c>
      <c r="D8" s="2" t="s">
        <v>351</v>
      </c>
      <c r="E8" s="1" t="s">
        <v>106</v>
      </c>
      <c r="F8" s="12">
        <v>199</v>
      </c>
      <c r="G8" s="13">
        <v>2</v>
      </c>
      <c r="H8" s="11">
        <f>F8*G8</f>
        <v>398</v>
      </c>
    </row>
    <row r="9" spans="1:8" ht="27.6" x14ac:dyDescent="0.3">
      <c r="A9">
        <v>2</v>
      </c>
      <c r="B9" s="1" t="s">
        <v>384</v>
      </c>
      <c r="C9" s="1" t="s">
        <v>623</v>
      </c>
      <c r="D9" s="2" t="s">
        <v>353</v>
      </c>
      <c r="E9" s="1" t="s">
        <v>106</v>
      </c>
      <c r="F9" s="12">
        <v>45</v>
      </c>
      <c r="G9" s="13"/>
      <c r="H9" s="11"/>
    </row>
    <row r="10" spans="1:8" ht="27.6" x14ac:dyDescent="0.3">
      <c r="A10">
        <v>1</v>
      </c>
      <c r="B10" s="1" t="s">
        <v>384</v>
      </c>
      <c r="C10" s="1" t="s">
        <v>622</v>
      </c>
      <c r="D10" s="2" t="s">
        <v>354</v>
      </c>
      <c r="E10" s="1" t="s">
        <v>21</v>
      </c>
      <c r="F10" s="12">
        <v>113</v>
      </c>
      <c r="G10" s="13"/>
      <c r="H10" s="11"/>
    </row>
    <row r="11" spans="1:8" ht="27.6" x14ac:dyDescent="0.3">
      <c r="A11">
        <v>1</v>
      </c>
      <c r="B11" s="1" t="s">
        <v>384</v>
      </c>
      <c r="C11" s="1" t="s">
        <v>622</v>
      </c>
      <c r="D11" s="2" t="s">
        <v>355</v>
      </c>
      <c r="E11" s="1" t="s">
        <v>21</v>
      </c>
      <c r="F11" s="12">
        <v>113</v>
      </c>
      <c r="G11" s="13"/>
      <c r="H11" s="11"/>
    </row>
    <row r="12" spans="1:8" ht="27.6" x14ac:dyDescent="0.3">
      <c r="A12">
        <v>1</v>
      </c>
      <c r="B12" s="1" t="s">
        <v>384</v>
      </c>
      <c r="C12" s="1" t="s">
        <v>622</v>
      </c>
      <c r="D12" s="2" t="s">
        <v>356</v>
      </c>
      <c r="E12" s="1" t="s">
        <v>21</v>
      </c>
      <c r="F12" s="12">
        <v>112.99999999999999</v>
      </c>
      <c r="G12" s="13">
        <v>17.000000000000004</v>
      </c>
      <c r="H12" s="11">
        <f>F12*G12</f>
        <v>1921.0000000000002</v>
      </c>
    </row>
    <row r="13" spans="1:8" ht="27.6" x14ac:dyDescent="0.3">
      <c r="A13">
        <v>1</v>
      </c>
      <c r="B13" s="1" t="s">
        <v>384</v>
      </c>
      <c r="C13" s="1" t="s">
        <v>622</v>
      </c>
      <c r="D13" s="2" t="s">
        <v>357</v>
      </c>
      <c r="E13" s="1" t="s">
        <v>106</v>
      </c>
      <c r="F13" s="12">
        <v>252</v>
      </c>
      <c r="G13" s="13">
        <v>123</v>
      </c>
      <c r="H13" s="11">
        <f>F13*G13</f>
        <v>30996</v>
      </c>
    </row>
    <row r="14" spans="1:8" ht="27.6" x14ac:dyDescent="0.3">
      <c r="A14">
        <v>1</v>
      </c>
      <c r="B14" s="1" t="s">
        <v>384</v>
      </c>
      <c r="C14" s="1" t="s">
        <v>622</v>
      </c>
      <c r="D14" s="2" t="s">
        <v>358</v>
      </c>
      <c r="E14" s="1" t="s">
        <v>106</v>
      </c>
      <c r="F14" s="12">
        <v>252</v>
      </c>
      <c r="G14" s="13">
        <v>33.199999999999996</v>
      </c>
      <c r="H14" s="11">
        <f>F14*G14</f>
        <v>8366.4</v>
      </c>
    </row>
  </sheetData>
  <autoFilter ref="A1:G14" xr:uid="{3CBA5951-F265-46DD-BE86-BFDB0B0FBDD3}"/>
  <conditionalFormatting sqref="B2:G14">
    <cfRule type="expression" dxfId="68" priority="1">
      <formula>$I2&gt;0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6A77C-3D23-47B0-9D93-19F66DCC0255}">
  <sheetPr codeName="Лист26">
    <tabColor rgb="FF00B050"/>
  </sheetPr>
  <dimension ref="A1:H6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385</v>
      </c>
      <c r="C2" s="1" t="s">
        <v>627</v>
      </c>
      <c r="D2" s="2" t="s">
        <v>348</v>
      </c>
      <c r="E2" s="1" t="s">
        <v>21</v>
      </c>
      <c r="F2" s="12">
        <v>138</v>
      </c>
      <c r="G2" s="13"/>
      <c r="H2" s="11"/>
    </row>
    <row r="3" spans="1:8" ht="27.6" x14ac:dyDescent="0.3">
      <c r="A3">
        <v>2</v>
      </c>
      <c r="B3" s="1" t="s">
        <v>385</v>
      </c>
      <c r="C3" s="1" t="s">
        <v>627</v>
      </c>
      <c r="D3" s="2" t="s">
        <v>349</v>
      </c>
      <c r="E3" s="1" t="s">
        <v>21</v>
      </c>
      <c r="F3" s="12">
        <v>138</v>
      </c>
      <c r="G3" s="13"/>
      <c r="H3" s="11"/>
    </row>
    <row r="4" spans="1:8" x14ac:dyDescent="0.3">
      <c r="A4">
        <v>2</v>
      </c>
      <c r="B4" s="1" t="s">
        <v>385</v>
      </c>
      <c r="C4" s="1" t="s">
        <v>627</v>
      </c>
      <c r="D4" s="2" t="s">
        <v>350</v>
      </c>
      <c r="E4" s="1" t="s">
        <v>21</v>
      </c>
      <c r="F4" s="12">
        <v>138</v>
      </c>
      <c r="G4" s="13">
        <v>30</v>
      </c>
      <c r="H4" s="11">
        <f>F4*G4</f>
        <v>4140</v>
      </c>
    </row>
    <row r="5" spans="1:8" ht="27.6" x14ac:dyDescent="0.3">
      <c r="A5">
        <v>2</v>
      </c>
      <c r="B5" s="1" t="s">
        <v>385</v>
      </c>
      <c r="C5" s="1" t="s">
        <v>627</v>
      </c>
      <c r="D5" s="2" t="s">
        <v>351</v>
      </c>
      <c r="E5" s="1" t="s">
        <v>106</v>
      </c>
      <c r="F5" s="12">
        <v>217</v>
      </c>
      <c r="G5" s="13">
        <v>2</v>
      </c>
      <c r="H5" s="11">
        <f>F5*G5</f>
        <v>434</v>
      </c>
    </row>
    <row r="6" spans="1:8" ht="27.6" x14ac:dyDescent="0.3">
      <c r="A6">
        <v>1</v>
      </c>
      <c r="B6" s="1" t="s">
        <v>385</v>
      </c>
      <c r="C6" s="1" t="s">
        <v>626</v>
      </c>
      <c r="D6" s="2" t="s">
        <v>353</v>
      </c>
      <c r="E6" s="1" t="s">
        <v>106</v>
      </c>
      <c r="F6" s="12">
        <v>63</v>
      </c>
      <c r="G6" s="13"/>
      <c r="H6" s="11"/>
    </row>
  </sheetData>
  <autoFilter ref="A1:G6" xr:uid="{D926A77C-3D23-47B0-9D93-19F66DCC0255}"/>
  <conditionalFormatting sqref="B2:G6">
    <cfRule type="expression" dxfId="67" priority="1">
      <formula>$I2&gt;0</formula>
    </cfRule>
  </conditionalFormatting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05327-ACC1-4ABE-ACFA-0614E50FC450}">
  <sheetPr codeName="Лист27">
    <tabColor rgb="FF00B050"/>
  </sheetPr>
  <dimension ref="A1:H14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41.4" x14ac:dyDescent="0.3">
      <c r="A2">
        <v>3</v>
      </c>
      <c r="B2" s="1" t="s">
        <v>386</v>
      </c>
      <c r="C2" s="1" t="s">
        <v>630</v>
      </c>
      <c r="D2" s="2" t="s">
        <v>346</v>
      </c>
      <c r="E2" s="1" t="s">
        <v>21</v>
      </c>
      <c r="F2" s="12">
        <v>167</v>
      </c>
      <c r="G2" s="13"/>
      <c r="H2" s="11"/>
    </row>
    <row r="3" spans="1:8" ht="41.4" x14ac:dyDescent="0.3">
      <c r="A3">
        <v>3</v>
      </c>
      <c r="B3" s="1" t="s">
        <v>386</v>
      </c>
      <c r="C3" s="1" t="s">
        <v>630</v>
      </c>
      <c r="D3" s="2" t="s">
        <v>361</v>
      </c>
      <c r="E3" s="1" t="s">
        <v>21</v>
      </c>
      <c r="F3" s="12">
        <v>124</v>
      </c>
      <c r="G3" s="13"/>
      <c r="H3" s="11"/>
    </row>
    <row r="4" spans="1:8" x14ac:dyDescent="0.3">
      <c r="A4">
        <v>3</v>
      </c>
      <c r="B4" s="1" t="s">
        <v>386</v>
      </c>
      <c r="C4" s="1" t="s">
        <v>630</v>
      </c>
      <c r="D4" s="2" t="s">
        <v>79</v>
      </c>
      <c r="E4" s="1" t="s">
        <v>21</v>
      </c>
      <c r="F4" s="12">
        <v>124</v>
      </c>
      <c r="G4" s="13"/>
      <c r="H4" s="11"/>
    </row>
    <row r="5" spans="1:8" ht="27.6" x14ac:dyDescent="0.3">
      <c r="A5">
        <v>4</v>
      </c>
      <c r="B5" s="1" t="s">
        <v>386</v>
      </c>
      <c r="C5" s="1" t="s">
        <v>631</v>
      </c>
      <c r="D5" s="2" t="s">
        <v>348</v>
      </c>
      <c r="E5" s="1" t="s">
        <v>21</v>
      </c>
      <c r="F5" s="12">
        <v>337</v>
      </c>
      <c r="G5" s="13"/>
      <c r="H5" s="11"/>
    </row>
    <row r="6" spans="1:8" ht="27.6" x14ac:dyDescent="0.3">
      <c r="A6">
        <v>4</v>
      </c>
      <c r="B6" s="1" t="s">
        <v>386</v>
      </c>
      <c r="C6" s="1" t="s">
        <v>631</v>
      </c>
      <c r="D6" s="2" t="s">
        <v>349</v>
      </c>
      <c r="E6" s="1" t="s">
        <v>21</v>
      </c>
      <c r="F6" s="12">
        <v>337</v>
      </c>
      <c r="G6" s="13"/>
      <c r="H6" s="11"/>
    </row>
    <row r="7" spans="1:8" x14ac:dyDescent="0.3">
      <c r="A7">
        <v>4</v>
      </c>
      <c r="B7" s="1" t="s">
        <v>386</v>
      </c>
      <c r="C7" s="1" t="s">
        <v>631</v>
      </c>
      <c r="D7" s="2" t="s">
        <v>350</v>
      </c>
      <c r="E7" s="1" t="s">
        <v>21</v>
      </c>
      <c r="F7" s="12">
        <v>337</v>
      </c>
      <c r="G7" s="13">
        <v>30</v>
      </c>
      <c r="H7" s="11">
        <f>F7*G7</f>
        <v>10110</v>
      </c>
    </row>
    <row r="8" spans="1:8" ht="27.6" x14ac:dyDescent="0.3">
      <c r="A8">
        <v>4</v>
      </c>
      <c r="B8" s="1" t="s">
        <v>386</v>
      </c>
      <c r="C8" s="1" t="s">
        <v>631</v>
      </c>
      <c r="D8" s="2" t="s">
        <v>387</v>
      </c>
      <c r="E8" s="1" t="s">
        <v>106</v>
      </c>
      <c r="F8" s="12">
        <v>220</v>
      </c>
      <c r="G8" s="13">
        <v>2</v>
      </c>
      <c r="H8" s="11">
        <f>F8*G8</f>
        <v>440</v>
      </c>
    </row>
    <row r="9" spans="1:8" ht="27.6" x14ac:dyDescent="0.3">
      <c r="A9">
        <v>1</v>
      </c>
      <c r="B9" s="1" t="s">
        <v>386</v>
      </c>
      <c r="C9" s="1" t="s">
        <v>628</v>
      </c>
      <c r="D9" s="2" t="s">
        <v>353</v>
      </c>
      <c r="E9" s="1" t="s">
        <v>106</v>
      </c>
      <c r="F9" s="12">
        <v>66</v>
      </c>
      <c r="G9" s="13"/>
      <c r="H9" s="11"/>
    </row>
    <row r="10" spans="1:8" ht="27.6" x14ac:dyDescent="0.3">
      <c r="A10">
        <v>2</v>
      </c>
      <c r="B10" s="1" t="s">
        <v>386</v>
      </c>
      <c r="C10" s="1" t="s">
        <v>629</v>
      </c>
      <c r="D10" s="2" t="s">
        <v>354</v>
      </c>
      <c r="E10" s="1" t="s">
        <v>21</v>
      </c>
      <c r="F10" s="12">
        <v>118</v>
      </c>
      <c r="G10" s="13"/>
      <c r="H10" s="11"/>
    </row>
    <row r="11" spans="1:8" ht="27.6" x14ac:dyDescent="0.3">
      <c r="A11">
        <v>2</v>
      </c>
      <c r="B11" s="1" t="s">
        <v>386</v>
      </c>
      <c r="C11" s="1" t="s">
        <v>629</v>
      </c>
      <c r="D11" s="2" t="s">
        <v>355</v>
      </c>
      <c r="E11" s="1" t="s">
        <v>21</v>
      </c>
      <c r="F11" s="12">
        <v>118</v>
      </c>
      <c r="G11" s="13"/>
      <c r="H11" s="11"/>
    </row>
    <row r="12" spans="1:8" ht="27.6" x14ac:dyDescent="0.3">
      <c r="A12">
        <v>2</v>
      </c>
      <c r="B12" s="1" t="s">
        <v>386</v>
      </c>
      <c r="C12" s="1" t="s">
        <v>629</v>
      </c>
      <c r="D12" s="2" t="s">
        <v>356</v>
      </c>
      <c r="E12" s="1" t="s">
        <v>21</v>
      </c>
      <c r="F12" s="12">
        <v>118</v>
      </c>
      <c r="G12" s="13">
        <v>16.999999999999996</v>
      </c>
      <c r="H12" s="11">
        <f>F12*G12</f>
        <v>2005.9999999999995</v>
      </c>
    </row>
    <row r="13" spans="1:8" ht="27.6" x14ac:dyDescent="0.3">
      <c r="A13">
        <v>2</v>
      </c>
      <c r="B13" s="1" t="s">
        <v>386</v>
      </c>
      <c r="C13" s="1" t="s">
        <v>629</v>
      </c>
      <c r="D13" s="2" t="s">
        <v>357</v>
      </c>
      <c r="E13" s="1" t="s">
        <v>106</v>
      </c>
      <c r="F13" s="12">
        <v>263</v>
      </c>
      <c r="G13" s="13">
        <v>122.99999999999999</v>
      </c>
      <c r="H13" s="11">
        <f>F13*G13</f>
        <v>32348.999999999996</v>
      </c>
    </row>
    <row r="14" spans="1:8" ht="27.6" x14ac:dyDescent="0.3">
      <c r="A14">
        <v>2</v>
      </c>
      <c r="B14" s="1" t="s">
        <v>386</v>
      </c>
      <c r="C14" s="1" t="s">
        <v>629</v>
      </c>
      <c r="D14" s="2" t="s">
        <v>358</v>
      </c>
      <c r="E14" s="1" t="s">
        <v>106</v>
      </c>
      <c r="F14" s="12">
        <v>263</v>
      </c>
      <c r="G14" s="13">
        <v>33.200000000000003</v>
      </c>
      <c r="H14" s="11">
        <f>F14*G14</f>
        <v>8731.6</v>
      </c>
    </row>
  </sheetData>
  <autoFilter ref="A1:G14" xr:uid="{B6E05327-ACC1-4ABE-ACFA-0614E50FC450}"/>
  <conditionalFormatting sqref="B2:G14">
    <cfRule type="expression" dxfId="66" priority="1">
      <formula>$I2&gt;0</formula>
    </cfRule>
  </conditionalFormatting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345DF-8B0C-40D3-B488-677FE955B387}">
  <sheetPr codeName="Лист28"/>
  <dimension ref="A1:H10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1</v>
      </c>
      <c r="B2" s="1" t="s">
        <v>393</v>
      </c>
      <c r="C2" s="1" t="s">
        <v>634</v>
      </c>
      <c r="D2" s="2" t="s">
        <v>394</v>
      </c>
      <c r="E2" s="1" t="s">
        <v>106</v>
      </c>
      <c r="F2" s="12">
        <v>84500</v>
      </c>
      <c r="G2" s="13"/>
      <c r="H2" s="11"/>
    </row>
    <row r="3" spans="1:8" ht="27.6" x14ac:dyDescent="0.3">
      <c r="A3">
        <v>1</v>
      </c>
      <c r="B3" s="1" t="s">
        <v>393</v>
      </c>
      <c r="C3" s="1" t="s">
        <v>634</v>
      </c>
      <c r="D3" s="2" t="s">
        <v>190</v>
      </c>
      <c r="E3" s="1" t="s">
        <v>21</v>
      </c>
      <c r="F3" s="12">
        <v>36187</v>
      </c>
      <c r="G3" s="13"/>
      <c r="H3" s="11"/>
    </row>
    <row r="4" spans="1:8" x14ac:dyDescent="0.3">
      <c r="A4">
        <v>1</v>
      </c>
      <c r="B4" s="1" t="s">
        <v>393</v>
      </c>
      <c r="C4" s="1" t="s">
        <v>634</v>
      </c>
      <c r="D4" s="2" t="s">
        <v>395</v>
      </c>
      <c r="E4" s="1" t="s">
        <v>21</v>
      </c>
      <c r="F4" s="12"/>
      <c r="G4" s="13"/>
      <c r="H4" s="11"/>
    </row>
    <row r="5" spans="1:8" ht="27.6" x14ac:dyDescent="0.3">
      <c r="A5">
        <v>2</v>
      </c>
      <c r="B5" s="1" t="s">
        <v>393</v>
      </c>
      <c r="C5" s="1" t="s">
        <v>635</v>
      </c>
      <c r="D5" s="2" t="s">
        <v>396</v>
      </c>
      <c r="E5" s="1" t="s">
        <v>753</v>
      </c>
      <c r="F5" s="12">
        <v>28164</v>
      </c>
      <c r="G5" s="13">
        <v>2.9809150014202528</v>
      </c>
      <c r="H5" s="11">
        <f>F5*G5</f>
        <v>83954.490099999995</v>
      </c>
    </row>
    <row r="6" spans="1:8" ht="27.6" x14ac:dyDescent="0.3">
      <c r="A6">
        <v>2</v>
      </c>
      <c r="B6" s="1" t="s">
        <v>393</v>
      </c>
      <c r="C6" s="1" t="s">
        <v>635</v>
      </c>
      <c r="D6" s="2" t="s">
        <v>397</v>
      </c>
      <c r="E6" s="1" t="s">
        <v>398</v>
      </c>
      <c r="F6" s="12">
        <v>3130</v>
      </c>
      <c r="G6" s="13">
        <v>0.32</v>
      </c>
      <c r="H6" s="11">
        <f>F6*G6</f>
        <v>1001.6</v>
      </c>
    </row>
    <row r="7" spans="1:8" ht="41.4" x14ac:dyDescent="0.3">
      <c r="A7">
        <v>3</v>
      </c>
      <c r="B7" s="1" t="s">
        <v>393</v>
      </c>
      <c r="C7" s="1" t="s">
        <v>636</v>
      </c>
      <c r="D7" s="2" t="s">
        <v>399</v>
      </c>
      <c r="E7" s="1" t="s">
        <v>21</v>
      </c>
      <c r="F7" s="12">
        <v>36553</v>
      </c>
      <c r="G7" s="13"/>
      <c r="H7" s="11"/>
    </row>
    <row r="8" spans="1:8" ht="27.6" x14ac:dyDescent="0.3">
      <c r="A8">
        <v>3</v>
      </c>
      <c r="B8" s="1" t="s">
        <v>393</v>
      </c>
      <c r="C8" s="1" t="s">
        <v>636</v>
      </c>
      <c r="D8" s="2" t="s">
        <v>394</v>
      </c>
      <c r="E8" s="1" t="s">
        <v>106</v>
      </c>
      <c r="F8" s="12">
        <v>84500</v>
      </c>
      <c r="G8" s="13"/>
      <c r="H8" s="11"/>
    </row>
    <row r="9" spans="1:8" x14ac:dyDescent="0.3">
      <c r="A9">
        <v>4</v>
      </c>
      <c r="B9" s="1" t="s">
        <v>393</v>
      </c>
      <c r="C9" s="1" t="s">
        <v>637</v>
      </c>
      <c r="D9" s="2" t="s">
        <v>400</v>
      </c>
      <c r="E9" s="1" t="s">
        <v>26</v>
      </c>
      <c r="F9" s="12">
        <v>924.34249999999997</v>
      </c>
      <c r="G9" s="13">
        <v>0.7400000000000001</v>
      </c>
      <c r="H9" s="11">
        <f>F9*G9</f>
        <v>684.01345000000003</v>
      </c>
    </row>
    <row r="10" spans="1:8" ht="27.6" x14ac:dyDescent="0.3">
      <c r="A10">
        <v>4</v>
      </c>
      <c r="B10" s="1" t="s">
        <v>393</v>
      </c>
      <c r="C10" s="1" t="s">
        <v>637</v>
      </c>
      <c r="D10" s="2" t="s">
        <v>401</v>
      </c>
      <c r="E10" s="1" t="s">
        <v>19</v>
      </c>
      <c r="F10" s="12">
        <v>924.34249999999997</v>
      </c>
      <c r="G10" s="13"/>
      <c r="H10" s="11"/>
    </row>
  </sheetData>
  <autoFilter ref="A1:G10" xr:uid="{83D345DF-8B0C-40D3-B488-677FE955B387}"/>
  <conditionalFormatting sqref="B2:G10">
    <cfRule type="expression" dxfId="65" priority="1">
      <formula>$I2&gt;0</formula>
    </cfRule>
  </conditionalFormatting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BE849-42CC-404C-B4BD-086D38407B80}">
  <sheetPr codeName="Лист29"/>
  <dimension ref="A1:H2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1</v>
      </c>
      <c r="B2" s="1" t="s">
        <v>402</v>
      </c>
      <c r="C2" s="1" t="s">
        <v>638</v>
      </c>
      <c r="D2" s="2" t="s">
        <v>403</v>
      </c>
      <c r="E2" s="1" t="s">
        <v>19</v>
      </c>
      <c r="F2" s="12">
        <v>6</v>
      </c>
      <c r="G2" s="13">
        <v>8</v>
      </c>
      <c r="H2" s="11">
        <f>F2*G2</f>
        <v>48</v>
      </c>
    </row>
  </sheetData>
  <autoFilter ref="A1:G1" xr:uid="{9F2BE849-42CC-404C-B4BD-086D38407B80}"/>
  <conditionalFormatting sqref="B2:G2">
    <cfRule type="expression" dxfId="64" priority="1">
      <formula>$I2&gt;0</formula>
    </cfRule>
  </conditionalFormatting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B5CE7-1645-4877-8B10-56EAB4B97E91}">
  <sheetPr codeName="Лист30"/>
  <dimension ref="A1:H6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418</v>
      </c>
      <c r="C2" s="1" t="s">
        <v>640</v>
      </c>
      <c r="D2" s="2" t="s">
        <v>403</v>
      </c>
      <c r="E2" s="1" t="s">
        <v>19</v>
      </c>
      <c r="F2" s="12">
        <v>6</v>
      </c>
      <c r="G2" s="13">
        <v>8</v>
      </c>
      <c r="H2" s="11">
        <f>F2*G2</f>
        <v>48</v>
      </c>
    </row>
    <row r="3" spans="1:8" ht="27.6" x14ac:dyDescent="0.3">
      <c r="A3">
        <v>1</v>
      </c>
      <c r="B3" s="1" t="s">
        <v>418</v>
      </c>
      <c r="C3" s="1" t="s">
        <v>639</v>
      </c>
      <c r="D3" s="2" t="s">
        <v>405</v>
      </c>
      <c r="E3" s="1" t="s">
        <v>44</v>
      </c>
      <c r="F3" s="12">
        <v>3</v>
      </c>
      <c r="G3" s="13">
        <v>0.66999999999999993</v>
      </c>
      <c r="H3" s="11">
        <f>F3*G3</f>
        <v>2.0099999999999998</v>
      </c>
    </row>
    <row r="4" spans="1:8" ht="27.6" x14ac:dyDescent="0.3">
      <c r="A4">
        <v>1</v>
      </c>
      <c r="B4" s="1" t="s">
        <v>418</v>
      </c>
      <c r="C4" s="1" t="s">
        <v>639</v>
      </c>
      <c r="D4" s="2" t="s">
        <v>406</v>
      </c>
      <c r="E4" s="1" t="s">
        <v>44</v>
      </c>
      <c r="F4" s="12">
        <v>3</v>
      </c>
      <c r="G4" s="13">
        <v>0.66999999999999993</v>
      </c>
      <c r="H4" s="11">
        <f>F4*G4</f>
        <v>2.0099999999999998</v>
      </c>
    </row>
    <row r="5" spans="1:8" x14ac:dyDescent="0.3">
      <c r="A5">
        <v>1</v>
      </c>
      <c r="B5" s="1" t="s">
        <v>418</v>
      </c>
      <c r="C5" s="1" t="s">
        <v>639</v>
      </c>
      <c r="D5" s="2" t="s">
        <v>407</v>
      </c>
      <c r="E5" s="1" t="s">
        <v>44</v>
      </c>
      <c r="F5" s="12">
        <v>3</v>
      </c>
      <c r="G5" s="13">
        <v>1.1100000000000001</v>
      </c>
      <c r="H5" s="11">
        <f>F5*G5</f>
        <v>3.33</v>
      </c>
    </row>
    <row r="6" spans="1:8" x14ac:dyDescent="0.3">
      <c r="A6">
        <v>1</v>
      </c>
      <c r="B6" s="1" t="s">
        <v>418</v>
      </c>
      <c r="C6" s="1" t="s">
        <v>639</v>
      </c>
      <c r="D6" s="2" t="s">
        <v>408</v>
      </c>
      <c r="E6" s="1" t="s">
        <v>44</v>
      </c>
      <c r="F6" s="12">
        <v>2</v>
      </c>
      <c r="G6" s="13">
        <v>8.1999999999999993</v>
      </c>
      <c r="H6" s="11">
        <f>F6*G6</f>
        <v>16.399999999999999</v>
      </c>
    </row>
  </sheetData>
  <autoFilter ref="A1:G6" xr:uid="{DFBB5CE7-1645-4877-8B10-56EAB4B97E91}"/>
  <conditionalFormatting sqref="B2:G6">
    <cfRule type="expression" dxfId="63" priority="1">
      <formula>$I2&gt;0</formula>
    </cfRule>
  </conditionalFormatting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B2F67-B864-4617-93B2-8D0776A62CB6}">
  <sheetPr codeName="Лист31"/>
  <dimension ref="A1:H6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404</v>
      </c>
      <c r="C2" s="1" t="s">
        <v>642</v>
      </c>
      <c r="D2" s="2" t="s">
        <v>405</v>
      </c>
      <c r="E2" s="1" t="s">
        <v>44</v>
      </c>
      <c r="F2" s="12">
        <v>3</v>
      </c>
      <c r="G2" s="13">
        <v>0.66999999999999993</v>
      </c>
      <c r="H2" s="11">
        <f>F2*G2</f>
        <v>2.0099999999999998</v>
      </c>
    </row>
    <row r="3" spans="1:8" ht="27.6" x14ac:dyDescent="0.3">
      <c r="A3">
        <v>2</v>
      </c>
      <c r="B3" s="1" t="s">
        <v>404</v>
      </c>
      <c r="C3" s="1" t="s">
        <v>642</v>
      </c>
      <c r="D3" s="2" t="s">
        <v>406</v>
      </c>
      <c r="E3" s="1" t="s">
        <v>44</v>
      </c>
      <c r="F3" s="12">
        <v>3</v>
      </c>
      <c r="G3" s="13">
        <v>0.66999999999999993</v>
      </c>
      <c r="H3" s="11">
        <f>F3*G3</f>
        <v>2.0099999999999998</v>
      </c>
    </row>
    <row r="4" spans="1:8" x14ac:dyDescent="0.3">
      <c r="A4">
        <v>2</v>
      </c>
      <c r="B4" s="1" t="s">
        <v>404</v>
      </c>
      <c r="C4" s="1" t="s">
        <v>642</v>
      </c>
      <c r="D4" s="2" t="s">
        <v>407</v>
      </c>
      <c r="E4" s="1" t="s">
        <v>44</v>
      </c>
      <c r="F4" s="12">
        <v>3</v>
      </c>
      <c r="G4" s="13">
        <v>1.1100000000000001</v>
      </c>
      <c r="H4" s="11">
        <f>F4*G4</f>
        <v>3.33</v>
      </c>
    </row>
    <row r="5" spans="1:8" x14ac:dyDescent="0.3">
      <c r="A5">
        <v>2</v>
      </c>
      <c r="B5" s="1" t="s">
        <v>404</v>
      </c>
      <c r="C5" s="1" t="s">
        <v>642</v>
      </c>
      <c r="D5" s="2" t="s">
        <v>408</v>
      </c>
      <c r="E5" s="1" t="s">
        <v>44</v>
      </c>
      <c r="F5" s="12">
        <v>2</v>
      </c>
      <c r="G5" s="13">
        <v>8.1999999999999993</v>
      </c>
      <c r="H5" s="11">
        <f>F5*G5</f>
        <v>16.399999999999999</v>
      </c>
    </row>
    <row r="6" spans="1:8" ht="27.6" x14ac:dyDescent="0.3">
      <c r="A6">
        <v>1</v>
      </c>
      <c r="B6" s="1" t="s">
        <v>404</v>
      </c>
      <c r="C6" s="1" t="s">
        <v>641</v>
      </c>
      <c r="D6" s="2" t="s">
        <v>403</v>
      </c>
      <c r="E6" s="1" t="s">
        <v>19</v>
      </c>
      <c r="F6" s="12">
        <v>6</v>
      </c>
      <c r="G6" s="13">
        <v>8</v>
      </c>
      <c r="H6" s="11">
        <f>F6*G6</f>
        <v>48</v>
      </c>
    </row>
  </sheetData>
  <autoFilter ref="A1:G6" xr:uid="{4EFB2F67-B864-4617-93B2-8D0776A62CB6}"/>
  <conditionalFormatting sqref="B2:G6">
    <cfRule type="expression" dxfId="62" priority="1">
      <formula>$I2&gt;0</formula>
    </cfRule>
  </conditionalFormatting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4E4B3-0D10-458B-A6EC-63D29E1ACC09}">
  <sheetPr codeName="Лист32"/>
  <dimension ref="A1:H6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409</v>
      </c>
      <c r="C2" s="1" t="s">
        <v>644</v>
      </c>
      <c r="D2" s="2" t="s">
        <v>403</v>
      </c>
      <c r="E2" s="1" t="s">
        <v>19</v>
      </c>
      <c r="F2" s="12">
        <v>6</v>
      </c>
      <c r="G2" s="13">
        <v>8</v>
      </c>
      <c r="H2" s="11">
        <f>F2*G2</f>
        <v>48</v>
      </c>
    </row>
    <row r="3" spans="1:8" ht="27.6" x14ac:dyDescent="0.3">
      <c r="A3">
        <v>1</v>
      </c>
      <c r="B3" s="1" t="s">
        <v>409</v>
      </c>
      <c r="C3" s="1" t="s">
        <v>643</v>
      </c>
      <c r="D3" s="2" t="s">
        <v>405</v>
      </c>
      <c r="E3" s="1" t="s">
        <v>44</v>
      </c>
      <c r="F3" s="12">
        <v>3</v>
      </c>
      <c r="G3" s="13">
        <v>0.66999999999999993</v>
      </c>
      <c r="H3" s="11">
        <f>F3*G3</f>
        <v>2.0099999999999998</v>
      </c>
    </row>
    <row r="4" spans="1:8" ht="27.6" x14ac:dyDescent="0.3">
      <c r="A4">
        <v>1</v>
      </c>
      <c r="B4" s="1" t="s">
        <v>409</v>
      </c>
      <c r="C4" s="1" t="s">
        <v>643</v>
      </c>
      <c r="D4" s="2" t="s">
        <v>406</v>
      </c>
      <c r="E4" s="1" t="s">
        <v>44</v>
      </c>
      <c r="F4" s="12">
        <v>3</v>
      </c>
      <c r="G4" s="13">
        <v>0.66999999999999993</v>
      </c>
      <c r="H4" s="11">
        <f>F4*G4</f>
        <v>2.0099999999999998</v>
      </c>
    </row>
    <row r="5" spans="1:8" x14ac:dyDescent="0.3">
      <c r="A5">
        <v>1</v>
      </c>
      <c r="B5" s="1" t="s">
        <v>409</v>
      </c>
      <c r="C5" s="1" t="s">
        <v>643</v>
      </c>
      <c r="D5" s="2" t="s">
        <v>407</v>
      </c>
      <c r="E5" s="1" t="s">
        <v>44</v>
      </c>
      <c r="F5" s="12">
        <v>3</v>
      </c>
      <c r="G5" s="13">
        <v>1.1100000000000001</v>
      </c>
      <c r="H5" s="11">
        <f>F5*G5</f>
        <v>3.33</v>
      </c>
    </row>
    <row r="6" spans="1:8" x14ac:dyDescent="0.3">
      <c r="A6">
        <v>1</v>
      </c>
      <c r="B6" s="1" t="s">
        <v>409</v>
      </c>
      <c r="C6" s="1" t="s">
        <v>643</v>
      </c>
      <c r="D6" s="2" t="s">
        <v>408</v>
      </c>
      <c r="E6" s="1" t="s">
        <v>44</v>
      </c>
      <c r="F6" s="12">
        <v>2</v>
      </c>
      <c r="G6" s="13">
        <v>8.1999999999999993</v>
      </c>
      <c r="H6" s="11">
        <f>F6*G6</f>
        <v>16.399999999999999</v>
      </c>
    </row>
  </sheetData>
  <autoFilter ref="A1:G6" xr:uid="{97D4E4B3-0D10-458B-A6EC-63D29E1ACC09}"/>
  <conditionalFormatting sqref="B2:G6">
    <cfRule type="expression" dxfId="61" priority="1">
      <formula>$I2&gt;0</formula>
    </cfRule>
  </conditionalFormatting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6F39B-52EE-45A8-9EE5-A4CD25FC71EE}">
  <sheetPr codeName="Лист33"/>
  <dimension ref="A1:H6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410</v>
      </c>
      <c r="C2" s="1" t="s">
        <v>646</v>
      </c>
      <c r="D2" s="2" t="s">
        <v>403</v>
      </c>
      <c r="E2" s="1" t="s">
        <v>19</v>
      </c>
      <c r="F2" s="12">
        <v>6</v>
      </c>
      <c r="G2" s="13">
        <v>8</v>
      </c>
      <c r="H2" s="11">
        <f>F2*G2</f>
        <v>48</v>
      </c>
    </row>
    <row r="3" spans="1:8" ht="27.6" x14ac:dyDescent="0.3">
      <c r="A3">
        <v>1</v>
      </c>
      <c r="B3" s="1" t="s">
        <v>410</v>
      </c>
      <c r="C3" s="1" t="s">
        <v>645</v>
      </c>
      <c r="D3" s="2" t="s">
        <v>405</v>
      </c>
      <c r="E3" s="1" t="s">
        <v>44</v>
      </c>
      <c r="F3" s="12">
        <v>3</v>
      </c>
      <c r="G3" s="13">
        <v>0.66999999999999993</v>
      </c>
      <c r="H3" s="11">
        <f>F3*G3</f>
        <v>2.0099999999999998</v>
      </c>
    </row>
    <row r="4" spans="1:8" ht="27.6" x14ac:dyDescent="0.3">
      <c r="A4">
        <v>1</v>
      </c>
      <c r="B4" s="1" t="s">
        <v>410</v>
      </c>
      <c r="C4" s="1" t="s">
        <v>645</v>
      </c>
      <c r="D4" s="2" t="s">
        <v>406</v>
      </c>
      <c r="E4" s="1" t="s">
        <v>44</v>
      </c>
      <c r="F4" s="12">
        <v>3</v>
      </c>
      <c r="G4" s="13">
        <v>0.66999999999999993</v>
      </c>
      <c r="H4" s="11">
        <f>F4*G4</f>
        <v>2.0099999999999998</v>
      </c>
    </row>
    <row r="5" spans="1:8" x14ac:dyDescent="0.3">
      <c r="A5">
        <v>1</v>
      </c>
      <c r="B5" s="1" t="s">
        <v>410</v>
      </c>
      <c r="C5" s="1" t="s">
        <v>645</v>
      </c>
      <c r="D5" s="2" t="s">
        <v>407</v>
      </c>
      <c r="E5" s="1" t="s">
        <v>44</v>
      </c>
      <c r="F5" s="12">
        <v>3</v>
      </c>
      <c r="G5" s="13">
        <v>1.1100000000000001</v>
      </c>
      <c r="H5" s="11">
        <f>F5*G5</f>
        <v>3.33</v>
      </c>
    </row>
    <row r="6" spans="1:8" x14ac:dyDescent="0.3">
      <c r="A6">
        <v>1</v>
      </c>
      <c r="B6" s="1" t="s">
        <v>410</v>
      </c>
      <c r="C6" s="1" t="s">
        <v>645</v>
      </c>
      <c r="D6" s="2" t="s">
        <v>408</v>
      </c>
      <c r="E6" s="1" t="s">
        <v>44</v>
      </c>
      <c r="F6" s="12">
        <v>2</v>
      </c>
      <c r="G6" s="13">
        <v>8.1999999999999993</v>
      </c>
      <c r="H6" s="11">
        <f>F6*G6</f>
        <v>16.399999999999999</v>
      </c>
    </row>
  </sheetData>
  <autoFilter ref="A1:G6" xr:uid="{23B6F39B-52EE-45A8-9EE5-A4CD25FC71EE}"/>
  <conditionalFormatting sqref="B2:G6">
    <cfRule type="expression" dxfId="60" priority="1">
      <formula>$I2&gt;0</formula>
    </cfRule>
  </conditionalFormatting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1F9F2-CB14-4E3E-A023-508C61E53AA2}">
  <sheetPr codeName="Лист34"/>
  <dimension ref="A1:H6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411</v>
      </c>
      <c r="C2" s="1" t="s">
        <v>648</v>
      </c>
      <c r="D2" s="2" t="s">
        <v>403</v>
      </c>
      <c r="E2" s="1" t="s">
        <v>19</v>
      </c>
      <c r="F2" s="12">
        <v>6</v>
      </c>
      <c r="G2" s="13">
        <v>8</v>
      </c>
      <c r="H2" s="11">
        <f>F2*G2</f>
        <v>48</v>
      </c>
    </row>
    <row r="3" spans="1:8" ht="27.6" x14ac:dyDescent="0.3">
      <c r="A3">
        <v>1</v>
      </c>
      <c r="B3" s="1" t="s">
        <v>411</v>
      </c>
      <c r="C3" s="1" t="s">
        <v>647</v>
      </c>
      <c r="D3" s="2" t="s">
        <v>405</v>
      </c>
      <c r="E3" s="1" t="s">
        <v>44</v>
      </c>
      <c r="F3" s="12">
        <v>3</v>
      </c>
      <c r="G3" s="13">
        <v>0.66999999999999993</v>
      </c>
      <c r="H3" s="11">
        <f>F3*G3</f>
        <v>2.0099999999999998</v>
      </c>
    </row>
    <row r="4" spans="1:8" ht="27.6" x14ac:dyDescent="0.3">
      <c r="A4">
        <v>1</v>
      </c>
      <c r="B4" s="1" t="s">
        <v>411</v>
      </c>
      <c r="C4" s="1" t="s">
        <v>647</v>
      </c>
      <c r="D4" s="2" t="s">
        <v>406</v>
      </c>
      <c r="E4" s="1" t="s">
        <v>44</v>
      </c>
      <c r="F4" s="12">
        <v>3</v>
      </c>
      <c r="G4" s="13">
        <v>0.66999999999999993</v>
      </c>
      <c r="H4" s="11">
        <f>F4*G4</f>
        <v>2.0099999999999998</v>
      </c>
    </row>
    <row r="5" spans="1:8" x14ac:dyDescent="0.3">
      <c r="A5">
        <v>1</v>
      </c>
      <c r="B5" s="1" t="s">
        <v>411</v>
      </c>
      <c r="C5" s="1" t="s">
        <v>647</v>
      </c>
      <c r="D5" s="2" t="s">
        <v>407</v>
      </c>
      <c r="E5" s="1" t="s">
        <v>44</v>
      </c>
      <c r="F5" s="12">
        <v>3</v>
      </c>
      <c r="G5" s="13">
        <v>1.1100000000000001</v>
      </c>
      <c r="H5" s="11">
        <f>F5*G5</f>
        <v>3.33</v>
      </c>
    </row>
    <row r="6" spans="1:8" x14ac:dyDescent="0.3">
      <c r="A6">
        <v>1</v>
      </c>
      <c r="B6" s="1" t="s">
        <v>411</v>
      </c>
      <c r="C6" s="1" t="s">
        <v>647</v>
      </c>
      <c r="D6" s="2" t="s">
        <v>408</v>
      </c>
      <c r="E6" s="1" t="s">
        <v>44</v>
      </c>
      <c r="F6" s="12">
        <v>2</v>
      </c>
      <c r="G6" s="13">
        <v>8.1999999999999993</v>
      </c>
      <c r="H6" s="11">
        <f>F6*G6</f>
        <v>16.399999999999999</v>
      </c>
    </row>
  </sheetData>
  <autoFilter ref="A1:G6" xr:uid="{78D1F9F2-CB14-4E3E-A023-508C61E53AA2}"/>
  <conditionalFormatting sqref="B2:G6">
    <cfRule type="expression" dxfId="59" priority="1">
      <formula>$I2&gt;0</formula>
    </cfRule>
  </conditionalFormatting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47A62-BFBF-4A69-883C-0BBD57421B90}">
  <sheetPr codeName="Лист35"/>
  <dimension ref="A1:H6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412</v>
      </c>
      <c r="C2" s="1" t="s">
        <v>650</v>
      </c>
      <c r="D2" s="2" t="s">
        <v>403</v>
      </c>
      <c r="E2" s="1" t="s">
        <v>19</v>
      </c>
      <c r="F2" s="12">
        <v>6</v>
      </c>
      <c r="G2" s="13">
        <v>8</v>
      </c>
      <c r="H2" s="11">
        <f>F2*G2</f>
        <v>48</v>
      </c>
    </row>
    <row r="3" spans="1:8" ht="27.6" x14ac:dyDescent="0.3">
      <c r="A3">
        <v>1</v>
      </c>
      <c r="B3" s="1" t="s">
        <v>412</v>
      </c>
      <c r="C3" s="1" t="s">
        <v>649</v>
      </c>
      <c r="D3" s="2" t="s">
        <v>405</v>
      </c>
      <c r="E3" s="1" t="s">
        <v>44</v>
      </c>
      <c r="F3" s="12">
        <v>3</v>
      </c>
      <c r="G3" s="13">
        <v>0.66999999999999993</v>
      </c>
      <c r="H3" s="11">
        <f>F3*G3</f>
        <v>2.0099999999999998</v>
      </c>
    </row>
    <row r="4" spans="1:8" ht="27.6" x14ac:dyDescent="0.3">
      <c r="A4">
        <v>1</v>
      </c>
      <c r="B4" s="1" t="s">
        <v>412</v>
      </c>
      <c r="C4" s="1" t="s">
        <v>649</v>
      </c>
      <c r="D4" s="2" t="s">
        <v>406</v>
      </c>
      <c r="E4" s="1" t="s">
        <v>44</v>
      </c>
      <c r="F4" s="12">
        <v>3</v>
      </c>
      <c r="G4" s="13">
        <v>0.66999999999999993</v>
      </c>
      <c r="H4" s="11">
        <f>F4*G4</f>
        <v>2.0099999999999998</v>
      </c>
    </row>
    <row r="5" spans="1:8" x14ac:dyDescent="0.3">
      <c r="A5">
        <v>1</v>
      </c>
      <c r="B5" s="1" t="s">
        <v>412</v>
      </c>
      <c r="C5" s="1" t="s">
        <v>649</v>
      </c>
      <c r="D5" s="2" t="s">
        <v>407</v>
      </c>
      <c r="E5" s="1" t="s">
        <v>44</v>
      </c>
      <c r="F5" s="12">
        <v>3</v>
      </c>
      <c r="G5" s="13">
        <v>1.1100000000000001</v>
      </c>
      <c r="H5" s="11">
        <f>F5*G5</f>
        <v>3.33</v>
      </c>
    </row>
    <row r="6" spans="1:8" x14ac:dyDescent="0.3">
      <c r="A6">
        <v>1</v>
      </c>
      <c r="B6" s="1" t="s">
        <v>412</v>
      </c>
      <c r="C6" s="1" t="s">
        <v>649</v>
      </c>
      <c r="D6" s="2" t="s">
        <v>408</v>
      </c>
      <c r="E6" s="1" t="s">
        <v>44</v>
      </c>
      <c r="F6" s="12">
        <v>2</v>
      </c>
      <c r="G6" s="13">
        <v>8.1999999999999993</v>
      </c>
      <c r="H6" s="11">
        <f>F6*G6</f>
        <v>16.399999999999999</v>
      </c>
    </row>
  </sheetData>
  <autoFilter ref="A1:G6" xr:uid="{92C47A62-BFBF-4A69-883C-0BBD57421B90}"/>
  <conditionalFormatting sqref="B2:G6">
    <cfRule type="expression" dxfId="58" priority="1">
      <formula>$I2&gt;0</formula>
    </cfRule>
  </conditionalFormatting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0C488F-12AF-4E44-BB46-14A1C717B9B7}">
  <sheetPr codeName="Лист36"/>
  <dimension ref="A1:H6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1</v>
      </c>
      <c r="B2" s="1" t="s">
        <v>413</v>
      </c>
      <c r="C2" s="1" t="s">
        <v>651</v>
      </c>
      <c r="D2" s="2" t="s">
        <v>403</v>
      </c>
      <c r="E2" s="1" t="s">
        <v>19</v>
      </c>
      <c r="F2" s="12">
        <v>6</v>
      </c>
      <c r="G2" s="13">
        <v>8</v>
      </c>
      <c r="H2" s="11">
        <f>F2*G2</f>
        <v>48</v>
      </c>
    </row>
    <row r="3" spans="1:8" ht="27.6" x14ac:dyDescent="0.3">
      <c r="A3">
        <v>2</v>
      </c>
      <c r="B3" s="1" t="s">
        <v>413</v>
      </c>
      <c r="C3" s="1" t="s">
        <v>652</v>
      </c>
      <c r="D3" s="2" t="s">
        <v>405</v>
      </c>
      <c r="E3" s="1" t="s">
        <v>44</v>
      </c>
      <c r="F3" s="12">
        <v>3</v>
      </c>
      <c r="G3" s="13">
        <v>0.66999999999999993</v>
      </c>
      <c r="H3" s="11">
        <f>F3*G3</f>
        <v>2.0099999999999998</v>
      </c>
    </row>
    <row r="4" spans="1:8" ht="27.6" x14ac:dyDescent="0.3">
      <c r="A4">
        <v>2</v>
      </c>
      <c r="B4" s="1" t="s">
        <v>413</v>
      </c>
      <c r="C4" s="1" t="s">
        <v>652</v>
      </c>
      <c r="D4" s="2" t="s">
        <v>406</v>
      </c>
      <c r="E4" s="1" t="s">
        <v>44</v>
      </c>
      <c r="F4" s="12">
        <v>3</v>
      </c>
      <c r="G4" s="13">
        <v>0.66999999999999993</v>
      </c>
      <c r="H4" s="11">
        <f>F4*G4</f>
        <v>2.0099999999999998</v>
      </c>
    </row>
    <row r="5" spans="1:8" x14ac:dyDescent="0.3">
      <c r="A5">
        <v>2</v>
      </c>
      <c r="B5" s="1" t="s">
        <v>413</v>
      </c>
      <c r="C5" s="1" t="s">
        <v>652</v>
      </c>
      <c r="D5" s="2" t="s">
        <v>407</v>
      </c>
      <c r="E5" s="1" t="s">
        <v>44</v>
      </c>
      <c r="F5" s="12">
        <v>3</v>
      </c>
      <c r="G5" s="13">
        <v>1.1100000000000001</v>
      </c>
      <c r="H5" s="11">
        <f>F5*G5</f>
        <v>3.33</v>
      </c>
    </row>
    <row r="6" spans="1:8" x14ac:dyDescent="0.3">
      <c r="A6">
        <v>2</v>
      </c>
      <c r="B6" s="1" t="s">
        <v>413</v>
      </c>
      <c r="C6" s="1" t="s">
        <v>652</v>
      </c>
      <c r="D6" s="2" t="s">
        <v>408</v>
      </c>
      <c r="E6" s="1" t="s">
        <v>44</v>
      </c>
      <c r="F6" s="12">
        <v>2</v>
      </c>
      <c r="G6" s="13">
        <v>8.1999999999999993</v>
      </c>
      <c r="H6" s="11">
        <f>F6*G6</f>
        <v>16.399999999999999</v>
      </c>
    </row>
  </sheetData>
  <autoFilter ref="A1:G6" xr:uid="{CC0C488F-12AF-4E44-BB46-14A1C717B9B7}"/>
  <conditionalFormatting sqref="B2:G6">
    <cfRule type="expression" dxfId="57" priority="1">
      <formula>$I2&gt;0</formula>
    </cfRule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92EC8-B65D-4FB6-8CAD-2A310B365F1D}">
  <sheetPr codeName="Лист37"/>
  <dimension ref="A1:H6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414</v>
      </c>
      <c r="C2" s="1" t="s">
        <v>654</v>
      </c>
      <c r="D2" s="2" t="s">
        <v>403</v>
      </c>
      <c r="E2" s="1" t="s">
        <v>19</v>
      </c>
      <c r="F2" s="12">
        <v>6</v>
      </c>
      <c r="G2" s="13">
        <v>8</v>
      </c>
      <c r="H2" s="11">
        <f>F2*G2</f>
        <v>48</v>
      </c>
    </row>
    <row r="3" spans="1:8" ht="27.6" x14ac:dyDescent="0.3">
      <c r="A3">
        <v>1</v>
      </c>
      <c r="B3" s="1" t="s">
        <v>414</v>
      </c>
      <c r="C3" s="1" t="s">
        <v>653</v>
      </c>
      <c r="D3" s="2" t="s">
        <v>405</v>
      </c>
      <c r="E3" s="1" t="s">
        <v>44</v>
      </c>
      <c r="F3" s="12">
        <v>3</v>
      </c>
      <c r="G3" s="13">
        <v>0.66999999999999993</v>
      </c>
      <c r="H3" s="11">
        <f>F3*G3</f>
        <v>2.0099999999999998</v>
      </c>
    </row>
    <row r="4" spans="1:8" ht="27.6" x14ac:dyDescent="0.3">
      <c r="A4">
        <v>1</v>
      </c>
      <c r="B4" s="1" t="s">
        <v>414</v>
      </c>
      <c r="C4" s="1" t="s">
        <v>653</v>
      </c>
      <c r="D4" s="2" t="s">
        <v>406</v>
      </c>
      <c r="E4" s="1" t="s">
        <v>44</v>
      </c>
      <c r="F4" s="12">
        <v>3</v>
      </c>
      <c r="G4" s="13">
        <v>0.66999999999999993</v>
      </c>
      <c r="H4" s="11">
        <f>F4*G4</f>
        <v>2.0099999999999998</v>
      </c>
    </row>
    <row r="5" spans="1:8" x14ac:dyDescent="0.3">
      <c r="A5">
        <v>1</v>
      </c>
      <c r="B5" s="1" t="s">
        <v>414</v>
      </c>
      <c r="C5" s="1" t="s">
        <v>653</v>
      </c>
      <c r="D5" s="2" t="s">
        <v>407</v>
      </c>
      <c r="E5" s="1" t="s">
        <v>44</v>
      </c>
      <c r="F5" s="12">
        <v>3</v>
      </c>
      <c r="G5" s="13">
        <v>1.1100000000000001</v>
      </c>
      <c r="H5" s="11">
        <f>F5*G5</f>
        <v>3.33</v>
      </c>
    </row>
    <row r="6" spans="1:8" x14ac:dyDescent="0.3">
      <c r="A6">
        <v>1</v>
      </c>
      <c r="B6" s="1" t="s">
        <v>414</v>
      </c>
      <c r="C6" s="1" t="s">
        <v>653</v>
      </c>
      <c r="D6" s="2" t="s">
        <v>408</v>
      </c>
      <c r="E6" s="1" t="s">
        <v>44</v>
      </c>
      <c r="F6" s="12">
        <v>2</v>
      </c>
      <c r="G6" s="13">
        <v>8.1999999999999993</v>
      </c>
      <c r="H6" s="11">
        <f>F6*G6</f>
        <v>16.399999999999999</v>
      </c>
    </row>
  </sheetData>
  <autoFilter ref="A1:G6" xr:uid="{5F392EC8-B65D-4FB6-8CAD-2A310B365F1D}"/>
  <conditionalFormatting sqref="B2:G6">
    <cfRule type="expression" dxfId="56" priority="1">
      <formula>$I2&gt;0</formula>
    </cfRule>
  </conditionalFormatting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FBCAE-3CD3-4D55-AF79-0A40D53EF460}">
  <sheetPr codeName="Лист38"/>
  <dimension ref="A1:H6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415</v>
      </c>
      <c r="C2" s="1" t="s">
        <v>656</v>
      </c>
      <c r="D2" s="2" t="s">
        <v>403</v>
      </c>
      <c r="E2" s="1" t="s">
        <v>19</v>
      </c>
      <c r="F2" s="12">
        <v>6</v>
      </c>
      <c r="G2" s="13">
        <v>8</v>
      </c>
      <c r="H2" s="11">
        <f>F2*G2</f>
        <v>48</v>
      </c>
    </row>
    <row r="3" spans="1:8" ht="27.6" x14ac:dyDescent="0.3">
      <c r="A3">
        <v>1</v>
      </c>
      <c r="B3" s="1" t="s">
        <v>415</v>
      </c>
      <c r="C3" s="1" t="s">
        <v>655</v>
      </c>
      <c r="D3" s="2" t="s">
        <v>405</v>
      </c>
      <c r="E3" s="1" t="s">
        <v>44</v>
      </c>
      <c r="F3" s="12">
        <v>3</v>
      </c>
      <c r="G3" s="13">
        <v>0.66999999999999993</v>
      </c>
      <c r="H3" s="11">
        <f>F3*G3</f>
        <v>2.0099999999999998</v>
      </c>
    </row>
    <row r="4" spans="1:8" ht="27.6" x14ac:dyDescent="0.3">
      <c r="A4">
        <v>1</v>
      </c>
      <c r="B4" s="1" t="s">
        <v>415</v>
      </c>
      <c r="C4" s="1" t="s">
        <v>655</v>
      </c>
      <c r="D4" s="2" t="s">
        <v>406</v>
      </c>
      <c r="E4" s="1" t="s">
        <v>44</v>
      </c>
      <c r="F4" s="12">
        <v>3</v>
      </c>
      <c r="G4" s="13">
        <v>0.66999999999999993</v>
      </c>
      <c r="H4" s="11">
        <f>F4*G4</f>
        <v>2.0099999999999998</v>
      </c>
    </row>
    <row r="5" spans="1:8" x14ac:dyDescent="0.3">
      <c r="A5">
        <v>1</v>
      </c>
      <c r="B5" s="1" t="s">
        <v>415</v>
      </c>
      <c r="C5" s="1" t="s">
        <v>655</v>
      </c>
      <c r="D5" s="2" t="s">
        <v>407</v>
      </c>
      <c r="E5" s="1" t="s">
        <v>44</v>
      </c>
      <c r="F5" s="12">
        <v>3</v>
      </c>
      <c r="G5" s="13">
        <v>1.1100000000000001</v>
      </c>
      <c r="H5" s="11">
        <f>F5*G5</f>
        <v>3.33</v>
      </c>
    </row>
    <row r="6" spans="1:8" x14ac:dyDescent="0.3">
      <c r="A6">
        <v>1</v>
      </c>
      <c r="B6" s="1" t="s">
        <v>415</v>
      </c>
      <c r="C6" s="1" t="s">
        <v>655</v>
      </c>
      <c r="D6" s="2" t="s">
        <v>408</v>
      </c>
      <c r="E6" s="1" t="s">
        <v>44</v>
      </c>
      <c r="F6" s="12">
        <v>2</v>
      </c>
      <c r="G6" s="13">
        <v>8.1999999999999993</v>
      </c>
      <c r="H6" s="11">
        <f>F6*G6</f>
        <v>16.399999999999999</v>
      </c>
    </row>
  </sheetData>
  <autoFilter ref="A1:G6" xr:uid="{B4EFBCAE-3CD3-4D55-AF79-0A40D53EF460}"/>
  <conditionalFormatting sqref="B2:G6">
    <cfRule type="expression" dxfId="55" priority="1">
      <formula>$I2&gt;0</formula>
    </cfRule>
  </conditionalFormatting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BEFB5-A89F-40CA-8EFE-139C84D94B09}">
  <sheetPr codeName="Лист39"/>
  <dimension ref="A1:H6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416</v>
      </c>
      <c r="C2" s="1" t="s">
        <v>658</v>
      </c>
      <c r="D2" s="2" t="s">
        <v>403</v>
      </c>
      <c r="E2" s="1" t="s">
        <v>19</v>
      </c>
      <c r="F2" s="12">
        <v>6</v>
      </c>
      <c r="G2" s="13">
        <v>8</v>
      </c>
      <c r="H2" s="11">
        <f>F2*G2</f>
        <v>48</v>
      </c>
    </row>
    <row r="3" spans="1:8" ht="27.6" x14ac:dyDescent="0.3">
      <c r="A3">
        <v>1</v>
      </c>
      <c r="B3" s="1" t="s">
        <v>416</v>
      </c>
      <c r="C3" s="1" t="s">
        <v>657</v>
      </c>
      <c r="D3" s="2" t="s">
        <v>405</v>
      </c>
      <c r="E3" s="1" t="s">
        <v>44</v>
      </c>
      <c r="F3" s="12">
        <v>3</v>
      </c>
      <c r="G3" s="13">
        <v>0.66999999999999993</v>
      </c>
      <c r="H3" s="11">
        <f>F3*G3</f>
        <v>2.0099999999999998</v>
      </c>
    </row>
    <row r="4" spans="1:8" ht="27.6" x14ac:dyDescent="0.3">
      <c r="A4">
        <v>1</v>
      </c>
      <c r="B4" s="1" t="s">
        <v>416</v>
      </c>
      <c r="C4" s="1" t="s">
        <v>657</v>
      </c>
      <c r="D4" s="2" t="s">
        <v>406</v>
      </c>
      <c r="E4" s="1" t="s">
        <v>44</v>
      </c>
      <c r="F4" s="12">
        <v>3</v>
      </c>
      <c r="G4" s="13">
        <v>0.66999999999999993</v>
      </c>
      <c r="H4" s="11">
        <f>F4*G4</f>
        <v>2.0099999999999998</v>
      </c>
    </row>
    <row r="5" spans="1:8" x14ac:dyDescent="0.3">
      <c r="A5">
        <v>1</v>
      </c>
      <c r="B5" s="1" t="s">
        <v>416</v>
      </c>
      <c r="C5" s="1" t="s">
        <v>657</v>
      </c>
      <c r="D5" s="2" t="s">
        <v>407</v>
      </c>
      <c r="E5" s="1" t="s">
        <v>44</v>
      </c>
      <c r="F5" s="12">
        <v>3</v>
      </c>
      <c r="G5" s="13">
        <v>1.1100000000000001</v>
      </c>
      <c r="H5" s="11">
        <f>F5*G5</f>
        <v>3.33</v>
      </c>
    </row>
    <row r="6" spans="1:8" x14ac:dyDescent="0.3">
      <c r="A6">
        <v>1</v>
      </c>
      <c r="B6" s="1" t="s">
        <v>416</v>
      </c>
      <c r="C6" s="1" t="s">
        <v>657</v>
      </c>
      <c r="D6" s="2" t="s">
        <v>408</v>
      </c>
      <c r="E6" s="1" t="s">
        <v>44</v>
      </c>
      <c r="F6" s="12">
        <v>2</v>
      </c>
      <c r="G6" s="13">
        <v>8.1999999999999993</v>
      </c>
      <c r="H6" s="11">
        <f>F6*G6</f>
        <v>16.399999999999999</v>
      </c>
    </row>
  </sheetData>
  <autoFilter ref="A1:G6" xr:uid="{9E7BEFB5-A89F-40CA-8EFE-139C84D94B09}"/>
  <conditionalFormatting sqref="B2:G6">
    <cfRule type="expression" dxfId="54" priority="1">
      <formula>$I2&gt;0</formula>
    </cfRule>
  </conditionalFormatting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25FC-6A29-4A9B-AAEE-4EBF1BF38F6D}">
  <sheetPr codeName="Лист40"/>
  <dimension ref="A1:H6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417</v>
      </c>
      <c r="C2" s="1" t="s">
        <v>660</v>
      </c>
      <c r="D2" s="2" t="s">
        <v>403</v>
      </c>
      <c r="E2" s="1" t="s">
        <v>19</v>
      </c>
      <c r="F2" s="12">
        <v>6</v>
      </c>
      <c r="G2" s="13">
        <v>8</v>
      </c>
      <c r="H2" s="11">
        <f>F2*G2</f>
        <v>48</v>
      </c>
    </row>
    <row r="3" spans="1:8" ht="27.6" x14ac:dyDescent="0.3">
      <c r="A3">
        <v>1</v>
      </c>
      <c r="B3" s="1" t="s">
        <v>417</v>
      </c>
      <c r="C3" s="1" t="s">
        <v>659</v>
      </c>
      <c r="D3" s="2" t="s">
        <v>405</v>
      </c>
      <c r="E3" s="1" t="s">
        <v>44</v>
      </c>
      <c r="F3" s="12">
        <v>3</v>
      </c>
      <c r="G3" s="13">
        <v>0.66999999999999993</v>
      </c>
      <c r="H3" s="11">
        <f>F3*G3</f>
        <v>2.0099999999999998</v>
      </c>
    </row>
    <row r="4" spans="1:8" ht="27.6" x14ac:dyDescent="0.3">
      <c r="A4">
        <v>1</v>
      </c>
      <c r="B4" s="1" t="s">
        <v>417</v>
      </c>
      <c r="C4" s="1" t="s">
        <v>659</v>
      </c>
      <c r="D4" s="2" t="s">
        <v>406</v>
      </c>
      <c r="E4" s="1" t="s">
        <v>44</v>
      </c>
      <c r="F4" s="12">
        <v>3</v>
      </c>
      <c r="G4" s="13">
        <v>0.66999999999999993</v>
      </c>
      <c r="H4" s="11">
        <f>F4*G4</f>
        <v>2.0099999999999998</v>
      </c>
    </row>
    <row r="5" spans="1:8" x14ac:dyDescent="0.3">
      <c r="A5">
        <v>1</v>
      </c>
      <c r="B5" s="1" t="s">
        <v>417</v>
      </c>
      <c r="C5" s="1" t="s">
        <v>659</v>
      </c>
      <c r="D5" s="2" t="s">
        <v>407</v>
      </c>
      <c r="E5" s="1" t="s">
        <v>44</v>
      </c>
      <c r="F5" s="12">
        <v>3</v>
      </c>
      <c r="G5" s="13">
        <v>1.1100000000000001</v>
      </c>
      <c r="H5" s="11">
        <f>F5*G5</f>
        <v>3.33</v>
      </c>
    </row>
    <row r="6" spans="1:8" x14ac:dyDescent="0.3">
      <c r="A6">
        <v>1</v>
      </c>
      <c r="B6" s="1" t="s">
        <v>417</v>
      </c>
      <c r="C6" s="1" t="s">
        <v>659</v>
      </c>
      <c r="D6" s="2" t="s">
        <v>408</v>
      </c>
      <c r="E6" s="1" t="s">
        <v>44</v>
      </c>
      <c r="F6" s="12">
        <v>2</v>
      </c>
      <c r="G6" s="13">
        <v>8.1999999999999993</v>
      </c>
      <c r="H6" s="11">
        <f>F6*G6</f>
        <v>16.399999999999999</v>
      </c>
    </row>
  </sheetData>
  <autoFilter ref="A1:G6" xr:uid="{DDDF25FC-6A29-4A9B-AAEE-4EBF1BF38F6D}"/>
  <conditionalFormatting sqref="B2:G6">
    <cfRule type="expression" dxfId="53" priority="1">
      <formula>$I2&gt;0</formula>
    </cfRule>
  </conditionalFormatting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E0D25-20E2-4E58-B017-282E6DF8680F}">
  <sheetPr codeName="Лист41"/>
  <dimension ref="A1:H6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419</v>
      </c>
      <c r="C2" s="1" t="s">
        <v>662</v>
      </c>
      <c r="D2" s="2" t="s">
        <v>403</v>
      </c>
      <c r="E2" s="1" t="s">
        <v>19</v>
      </c>
      <c r="F2" s="12">
        <v>6</v>
      </c>
      <c r="G2" s="13">
        <v>8</v>
      </c>
      <c r="H2" s="11">
        <f>F2*G2</f>
        <v>48</v>
      </c>
    </row>
    <row r="3" spans="1:8" ht="27.6" x14ac:dyDescent="0.3">
      <c r="A3">
        <v>1</v>
      </c>
      <c r="B3" s="1" t="s">
        <v>419</v>
      </c>
      <c r="C3" s="1" t="s">
        <v>661</v>
      </c>
      <c r="D3" s="2" t="s">
        <v>405</v>
      </c>
      <c r="E3" s="1" t="s">
        <v>44</v>
      </c>
      <c r="F3" s="12">
        <v>3</v>
      </c>
      <c r="G3" s="13">
        <v>0.66999999999999993</v>
      </c>
      <c r="H3" s="11">
        <f>F3*G3</f>
        <v>2.0099999999999998</v>
      </c>
    </row>
    <row r="4" spans="1:8" ht="27.6" x14ac:dyDescent="0.3">
      <c r="A4">
        <v>1</v>
      </c>
      <c r="B4" s="1" t="s">
        <v>419</v>
      </c>
      <c r="C4" s="1" t="s">
        <v>661</v>
      </c>
      <c r="D4" s="2" t="s">
        <v>406</v>
      </c>
      <c r="E4" s="1" t="s">
        <v>44</v>
      </c>
      <c r="F4" s="12">
        <v>3</v>
      </c>
      <c r="G4" s="13">
        <v>0.66999999999999993</v>
      </c>
      <c r="H4" s="11">
        <f>F4*G4</f>
        <v>2.0099999999999998</v>
      </c>
    </row>
    <row r="5" spans="1:8" x14ac:dyDescent="0.3">
      <c r="A5">
        <v>1</v>
      </c>
      <c r="B5" s="1" t="s">
        <v>419</v>
      </c>
      <c r="C5" s="1" t="s">
        <v>661</v>
      </c>
      <c r="D5" s="2" t="s">
        <v>407</v>
      </c>
      <c r="E5" s="1" t="s">
        <v>44</v>
      </c>
      <c r="F5" s="12">
        <v>3</v>
      </c>
      <c r="G5" s="13">
        <v>1.1100000000000001</v>
      </c>
      <c r="H5" s="11">
        <f>F5*G5</f>
        <v>3.33</v>
      </c>
    </row>
    <row r="6" spans="1:8" x14ac:dyDescent="0.3">
      <c r="A6">
        <v>1</v>
      </c>
      <c r="B6" s="1" t="s">
        <v>419</v>
      </c>
      <c r="C6" s="1" t="s">
        <v>661</v>
      </c>
      <c r="D6" s="2" t="s">
        <v>408</v>
      </c>
      <c r="E6" s="1" t="s">
        <v>44</v>
      </c>
      <c r="F6" s="12">
        <v>2</v>
      </c>
      <c r="G6" s="13">
        <v>8.1999999999999993</v>
      </c>
      <c r="H6" s="11">
        <f>F6*G6</f>
        <v>16.399999999999999</v>
      </c>
    </row>
  </sheetData>
  <autoFilter ref="A1:G6" xr:uid="{C80E0D25-20E2-4E58-B017-282E6DF8680F}"/>
  <conditionalFormatting sqref="B2:G6">
    <cfRule type="expression" dxfId="52" priority="1">
      <formula>$I2&gt;0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2B778-4A67-4A41-9E8B-43FE8CF6E31B}">
  <sheetPr codeName="Лист42"/>
  <dimension ref="A1:H6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420</v>
      </c>
      <c r="C2" s="1" t="s">
        <v>664</v>
      </c>
      <c r="D2" s="2" t="s">
        <v>403</v>
      </c>
      <c r="E2" s="1" t="s">
        <v>19</v>
      </c>
      <c r="F2" s="12">
        <v>6</v>
      </c>
      <c r="G2" s="13">
        <v>8</v>
      </c>
      <c r="H2" s="11">
        <f>F2*G2</f>
        <v>48</v>
      </c>
    </row>
    <row r="3" spans="1:8" ht="27.6" x14ac:dyDescent="0.3">
      <c r="A3">
        <v>1</v>
      </c>
      <c r="B3" s="1" t="s">
        <v>420</v>
      </c>
      <c r="C3" s="1" t="s">
        <v>663</v>
      </c>
      <c r="D3" s="2" t="s">
        <v>405</v>
      </c>
      <c r="E3" s="1" t="s">
        <v>44</v>
      </c>
      <c r="F3" s="12">
        <v>3</v>
      </c>
      <c r="G3" s="13">
        <v>0.66999999999999993</v>
      </c>
      <c r="H3" s="11">
        <f>F3*G3</f>
        <v>2.0099999999999998</v>
      </c>
    </row>
    <row r="4" spans="1:8" ht="27.6" x14ac:dyDescent="0.3">
      <c r="A4">
        <v>1</v>
      </c>
      <c r="B4" s="1" t="s">
        <v>420</v>
      </c>
      <c r="C4" s="1" t="s">
        <v>663</v>
      </c>
      <c r="D4" s="2" t="s">
        <v>406</v>
      </c>
      <c r="E4" s="1" t="s">
        <v>44</v>
      </c>
      <c r="F4" s="12">
        <v>3</v>
      </c>
      <c r="G4" s="13">
        <v>0.66999999999999993</v>
      </c>
      <c r="H4" s="11">
        <f>F4*G4</f>
        <v>2.0099999999999998</v>
      </c>
    </row>
    <row r="5" spans="1:8" x14ac:dyDescent="0.3">
      <c r="A5">
        <v>1</v>
      </c>
      <c r="B5" s="1" t="s">
        <v>420</v>
      </c>
      <c r="C5" s="1" t="s">
        <v>663</v>
      </c>
      <c r="D5" s="2" t="s">
        <v>407</v>
      </c>
      <c r="E5" s="1" t="s">
        <v>44</v>
      </c>
      <c r="F5" s="12">
        <v>3</v>
      </c>
      <c r="G5" s="13">
        <v>1.1100000000000001</v>
      </c>
      <c r="H5" s="11">
        <f>F5*G5</f>
        <v>3.33</v>
      </c>
    </row>
    <row r="6" spans="1:8" x14ac:dyDescent="0.3">
      <c r="A6">
        <v>1</v>
      </c>
      <c r="B6" s="1" t="s">
        <v>420</v>
      </c>
      <c r="C6" s="1" t="s">
        <v>663</v>
      </c>
      <c r="D6" s="2" t="s">
        <v>408</v>
      </c>
      <c r="E6" s="1" t="s">
        <v>44</v>
      </c>
      <c r="F6" s="12">
        <v>2</v>
      </c>
      <c r="G6" s="13">
        <v>8.1999999999999993</v>
      </c>
      <c r="H6" s="11">
        <f>F6*G6</f>
        <v>16.399999999999999</v>
      </c>
    </row>
  </sheetData>
  <autoFilter ref="A1:G6" xr:uid="{C5E2B778-4A67-4A41-9E8B-43FE8CF6E31B}"/>
  <conditionalFormatting sqref="B2:G6">
    <cfRule type="expression" dxfId="51" priority="1">
      <formula>$I2&gt;0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4E5B4-2523-45A6-963A-2A83F445A307}">
  <sheetPr codeName="Лист43"/>
  <dimension ref="A1:H49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  <col min="8" max="8" width="9.88671875" bestFit="1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1</v>
      </c>
      <c r="B2" s="1" t="s">
        <v>426</v>
      </c>
      <c r="C2" s="1" t="s">
        <v>665</v>
      </c>
      <c r="D2" s="2" t="s">
        <v>427</v>
      </c>
      <c r="E2" s="1" t="s">
        <v>2</v>
      </c>
      <c r="F2" s="12">
        <v>32.674999999999997</v>
      </c>
      <c r="G2" s="13">
        <v>6.98</v>
      </c>
      <c r="H2" s="11">
        <f>F2*G2</f>
        <v>228.07149999999999</v>
      </c>
    </row>
    <row r="3" spans="1:8" ht="27.6" x14ac:dyDescent="0.3">
      <c r="A3">
        <v>1</v>
      </c>
      <c r="B3" s="1" t="s">
        <v>426</v>
      </c>
      <c r="C3" s="1" t="s">
        <v>665</v>
      </c>
      <c r="D3" s="2" t="s">
        <v>428</v>
      </c>
      <c r="E3" s="1" t="s">
        <v>398</v>
      </c>
      <c r="F3" s="12">
        <v>3631</v>
      </c>
      <c r="G3" s="13">
        <v>0.32</v>
      </c>
      <c r="H3" s="11">
        <f>F3*G3</f>
        <v>1161.92</v>
      </c>
    </row>
    <row r="4" spans="1:8" x14ac:dyDescent="0.3">
      <c r="A4">
        <v>2</v>
      </c>
      <c r="B4" s="1" t="s">
        <v>426</v>
      </c>
      <c r="C4" s="1" t="s">
        <v>666</v>
      </c>
      <c r="D4" s="2" t="s">
        <v>244</v>
      </c>
      <c r="E4" s="1" t="s">
        <v>26</v>
      </c>
      <c r="F4" s="12">
        <v>823.41</v>
      </c>
      <c r="G4" s="13">
        <v>0.74</v>
      </c>
      <c r="H4" s="11">
        <f>F4*G4</f>
        <v>609.32339999999999</v>
      </c>
    </row>
    <row r="5" spans="1:8" x14ac:dyDescent="0.3">
      <c r="A5">
        <v>2</v>
      </c>
      <c r="B5" s="1" t="s">
        <v>426</v>
      </c>
      <c r="C5" s="1" t="s">
        <v>666</v>
      </c>
      <c r="D5" s="2" t="s">
        <v>245</v>
      </c>
      <c r="E5" s="1" t="s">
        <v>26</v>
      </c>
      <c r="F5" s="12">
        <v>823.41</v>
      </c>
      <c r="G5" s="13">
        <v>0.74</v>
      </c>
      <c r="H5" s="11">
        <f>F5*G5</f>
        <v>609.32339999999999</v>
      </c>
    </row>
    <row r="6" spans="1:8" ht="41.4" x14ac:dyDescent="0.3">
      <c r="A6">
        <v>3</v>
      </c>
      <c r="B6" s="1" t="s">
        <v>426</v>
      </c>
      <c r="C6" s="1" t="s">
        <v>667</v>
      </c>
      <c r="D6" s="2" t="s">
        <v>429</v>
      </c>
      <c r="E6" s="1" t="s">
        <v>19</v>
      </c>
      <c r="F6" s="12">
        <v>823.41</v>
      </c>
      <c r="G6" s="13"/>
      <c r="H6" s="11"/>
    </row>
    <row r="7" spans="1:8" x14ac:dyDescent="0.3">
      <c r="A7">
        <v>4</v>
      </c>
      <c r="B7" s="1" t="s">
        <v>426</v>
      </c>
      <c r="C7" s="1" t="s">
        <v>668</v>
      </c>
      <c r="D7" s="2" t="s">
        <v>430</v>
      </c>
      <c r="E7" s="1" t="s">
        <v>106</v>
      </c>
      <c r="F7" s="12">
        <v>98025</v>
      </c>
      <c r="G7" s="13"/>
      <c r="H7" s="11"/>
    </row>
    <row r="8" spans="1:8" ht="27.6" x14ac:dyDescent="0.3">
      <c r="A8">
        <v>4</v>
      </c>
      <c r="B8" s="1" t="s">
        <v>426</v>
      </c>
      <c r="C8" s="1" t="s">
        <v>668</v>
      </c>
      <c r="D8" s="2" t="s">
        <v>190</v>
      </c>
      <c r="E8" s="1" t="s">
        <v>21</v>
      </c>
      <c r="F8" s="12">
        <v>110540</v>
      </c>
      <c r="G8" s="13"/>
      <c r="H8" s="11"/>
    </row>
    <row r="9" spans="1:8" ht="27.6" x14ac:dyDescent="0.3">
      <c r="A9">
        <v>5</v>
      </c>
      <c r="B9" s="1" t="s">
        <v>426</v>
      </c>
      <c r="C9" s="1" t="s">
        <v>669</v>
      </c>
      <c r="D9" s="2" t="s">
        <v>431</v>
      </c>
      <c r="E9" s="1" t="s">
        <v>21</v>
      </c>
      <c r="F9" s="12">
        <v>111095</v>
      </c>
      <c r="G9" s="13"/>
      <c r="H9" s="11"/>
    </row>
    <row r="10" spans="1:8" x14ac:dyDescent="0.3">
      <c r="A10">
        <v>5</v>
      </c>
      <c r="B10" s="1" t="s">
        <v>426</v>
      </c>
      <c r="C10" s="1" t="s">
        <v>669</v>
      </c>
      <c r="D10" s="2" t="s">
        <v>430</v>
      </c>
      <c r="E10" s="1" t="s">
        <v>106</v>
      </c>
      <c r="F10" s="12">
        <v>98025</v>
      </c>
      <c r="G10" s="13"/>
      <c r="H10" s="11"/>
    </row>
    <row r="11" spans="1:8" ht="41.4" x14ac:dyDescent="0.3">
      <c r="A11">
        <v>6</v>
      </c>
      <c r="B11" s="1" t="s">
        <v>426</v>
      </c>
      <c r="C11" s="1" t="s">
        <v>670</v>
      </c>
      <c r="D11" s="2" t="s">
        <v>432</v>
      </c>
      <c r="E11" s="1" t="s">
        <v>2</v>
      </c>
      <c r="F11" s="12">
        <v>2.4910000000000001</v>
      </c>
      <c r="G11" s="13">
        <v>6.98</v>
      </c>
      <c r="H11" s="11">
        <f>F11*G11</f>
        <v>17.387180000000001</v>
      </c>
    </row>
    <row r="12" spans="1:8" ht="27.6" x14ac:dyDescent="0.3">
      <c r="A12">
        <v>6</v>
      </c>
      <c r="B12" s="1" t="s">
        <v>426</v>
      </c>
      <c r="C12" s="1" t="s">
        <v>670</v>
      </c>
      <c r="D12" s="2" t="s">
        <v>433</v>
      </c>
      <c r="E12" s="1" t="s">
        <v>398</v>
      </c>
      <c r="F12" s="12">
        <v>238</v>
      </c>
      <c r="G12" s="13">
        <v>0.32</v>
      </c>
      <c r="H12" s="11">
        <f>F12*G12</f>
        <v>76.16</v>
      </c>
    </row>
    <row r="13" spans="1:8" x14ac:dyDescent="0.3">
      <c r="A13">
        <v>7</v>
      </c>
      <c r="B13" s="1" t="s">
        <v>426</v>
      </c>
      <c r="C13" s="1" t="s">
        <v>671</v>
      </c>
      <c r="D13" s="2" t="s">
        <v>244</v>
      </c>
      <c r="E13" s="1" t="s">
        <v>26</v>
      </c>
      <c r="F13" s="12">
        <v>328.31380000000001</v>
      </c>
      <c r="G13" s="13">
        <v>0.74</v>
      </c>
      <c r="H13" s="11">
        <f>F13*G13</f>
        <v>242.952212</v>
      </c>
    </row>
    <row r="14" spans="1:8" x14ac:dyDescent="0.3">
      <c r="A14">
        <v>7</v>
      </c>
      <c r="B14" s="1" t="s">
        <v>426</v>
      </c>
      <c r="C14" s="1" t="s">
        <v>671</v>
      </c>
      <c r="D14" s="2" t="s">
        <v>245</v>
      </c>
      <c r="E14" s="1" t="s">
        <v>26</v>
      </c>
      <c r="F14" s="12">
        <v>328.31380000000001</v>
      </c>
      <c r="G14" s="13">
        <v>0.74</v>
      </c>
      <c r="H14" s="11">
        <f>F14*G14</f>
        <v>242.952212</v>
      </c>
    </row>
    <row r="15" spans="1:8" ht="41.4" x14ac:dyDescent="0.3">
      <c r="A15">
        <v>8</v>
      </c>
      <c r="B15" s="1" t="s">
        <v>426</v>
      </c>
      <c r="C15" s="1" t="s">
        <v>672</v>
      </c>
      <c r="D15" s="2" t="s">
        <v>429</v>
      </c>
      <c r="E15" s="1" t="s">
        <v>19</v>
      </c>
      <c r="F15" s="12">
        <v>328.31380000000001</v>
      </c>
      <c r="G15" s="13"/>
      <c r="H15" s="11"/>
    </row>
    <row r="16" spans="1:8" x14ac:dyDescent="0.3">
      <c r="A16">
        <v>9</v>
      </c>
      <c r="B16" s="1" t="s">
        <v>426</v>
      </c>
      <c r="C16" s="1" t="s">
        <v>673</v>
      </c>
      <c r="D16" s="2" t="s">
        <v>434</v>
      </c>
      <c r="E16" s="1" t="s">
        <v>106</v>
      </c>
      <c r="F16" s="12">
        <v>7473</v>
      </c>
      <c r="G16" s="13"/>
      <c r="H16" s="11"/>
    </row>
    <row r="17" spans="1:8" ht="27.6" x14ac:dyDescent="0.3">
      <c r="A17">
        <v>9</v>
      </c>
      <c r="B17" s="1" t="s">
        <v>426</v>
      </c>
      <c r="C17" s="1" t="s">
        <v>673</v>
      </c>
      <c r="D17" s="2" t="s">
        <v>435</v>
      </c>
      <c r="E17" s="1" t="s">
        <v>21</v>
      </c>
      <c r="F17" s="12">
        <v>8427</v>
      </c>
      <c r="G17" s="13">
        <v>17.230000000000004</v>
      </c>
      <c r="H17" s="11">
        <f>F17*G17</f>
        <v>145197.21000000002</v>
      </c>
    </row>
    <row r="18" spans="1:8" ht="27.6" x14ac:dyDescent="0.3">
      <c r="A18">
        <v>10</v>
      </c>
      <c r="B18" s="1" t="s">
        <v>426</v>
      </c>
      <c r="C18" s="1" t="s">
        <v>674</v>
      </c>
      <c r="D18" s="2" t="s">
        <v>431</v>
      </c>
      <c r="E18" s="1" t="s">
        <v>21</v>
      </c>
      <c r="F18" s="12">
        <v>8469</v>
      </c>
      <c r="G18" s="13"/>
      <c r="H18" s="11"/>
    </row>
    <row r="19" spans="1:8" x14ac:dyDescent="0.3">
      <c r="A19">
        <v>10</v>
      </c>
      <c r="B19" s="1" t="s">
        <v>426</v>
      </c>
      <c r="C19" s="1" t="s">
        <v>674</v>
      </c>
      <c r="D19" s="2" t="s">
        <v>434</v>
      </c>
      <c r="E19" s="1" t="s">
        <v>106</v>
      </c>
      <c r="F19" s="12">
        <v>7473</v>
      </c>
      <c r="G19" s="13"/>
      <c r="H19" s="11"/>
    </row>
    <row r="20" spans="1:8" ht="27.6" x14ac:dyDescent="0.3">
      <c r="A20">
        <v>11</v>
      </c>
      <c r="B20" s="1" t="s">
        <v>426</v>
      </c>
      <c r="C20" s="1" t="s">
        <v>675</v>
      </c>
      <c r="D20" s="2" t="s">
        <v>436</v>
      </c>
      <c r="E20" s="1" t="s">
        <v>2</v>
      </c>
      <c r="F20" s="12">
        <v>1.05</v>
      </c>
      <c r="G20" s="13">
        <v>6.9799999999999995</v>
      </c>
      <c r="H20" s="11">
        <f>F20*G20</f>
        <v>7.3289999999999997</v>
      </c>
    </row>
    <row r="21" spans="1:8" ht="27.6" x14ac:dyDescent="0.3">
      <c r="A21">
        <v>11</v>
      </c>
      <c r="B21" s="1" t="s">
        <v>426</v>
      </c>
      <c r="C21" s="1" t="s">
        <v>675</v>
      </c>
      <c r="D21" s="2" t="s">
        <v>437</v>
      </c>
      <c r="E21" s="1" t="s">
        <v>398</v>
      </c>
      <c r="F21" s="12">
        <v>117</v>
      </c>
      <c r="G21" s="13">
        <v>0.32</v>
      </c>
      <c r="H21" s="11">
        <f>F21*G21</f>
        <v>37.44</v>
      </c>
    </row>
    <row r="22" spans="1:8" x14ac:dyDescent="0.3">
      <c r="A22">
        <v>12</v>
      </c>
      <c r="B22" s="1" t="s">
        <v>426</v>
      </c>
      <c r="C22" s="1" t="s">
        <v>676</v>
      </c>
      <c r="D22" s="2" t="s">
        <v>244</v>
      </c>
      <c r="E22" s="1" t="s">
        <v>26</v>
      </c>
      <c r="F22" s="12">
        <v>5.9325000000000001</v>
      </c>
      <c r="G22" s="13">
        <v>0.73999999999999988</v>
      </c>
      <c r="H22" s="11">
        <f>F22*G22</f>
        <v>4.3900499999999996</v>
      </c>
    </row>
    <row r="23" spans="1:8" x14ac:dyDescent="0.3">
      <c r="A23">
        <v>12</v>
      </c>
      <c r="B23" s="1" t="s">
        <v>426</v>
      </c>
      <c r="C23" s="1" t="s">
        <v>676</v>
      </c>
      <c r="D23" s="2" t="s">
        <v>245</v>
      </c>
      <c r="E23" s="1" t="s">
        <v>26</v>
      </c>
      <c r="F23" s="12">
        <v>5.9325000000000001</v>
      </c>
      <c r="G23" s="13">
        <v>0.73999999999999988</v>
      </c>
      <c r="H23" s="11">
        <f>F23*G23</f>
        <v>4.3900499999999996</v>
      </c>
    </row>
    <row r="24" spans="1:8" ht="41.4" x14ac:dyDescent="0.3">
      <c r="A24">
        <v>13</v>
      </c>
      <c r="B24" s="1" t="s">
        <v>426</v>
      </c>
      <c r="C24" s="1" t="s">
        <v>677</v>
      </c>
      <c r="D24" s="2" t="s">
        <v>429</v>
      </c>
      <c r="E24" s="1" t="s">
        <v>19</v>
      </c>
      <c r="F24" s="12">
        <v>5.9325000000000001</v>
      </c>
      <c r="G24" s="13"/>
      <c r="H24" s="11"/>
    </row>
    <row r="25" spans="1:8" x14ac:dyDescent="0.3">
      <c r="A25">
        <v>14</v>
      </c>
      <c r="B25" s="1" t="s">
        <v>426</v>
      </c>
      <c r="C25" s="1" t="s">
        <v>678</v>
      </c>
      <c r="D25" s="2" t="s">
        <v>434</v>
      </c>
      <c r="E25" s="1" t="s">
        <v>106</v>
      </c>
      <c r="F25" s="12">
        <v>3150</v>
      </c>
      <c r="G25" s="13"/>
      <c r="H25" s="11"/>
    </row>
    <row r="26" spans="1:8" ht="27.6" x14ac:dyDescent="0.3">
      <c r="A26">
        <v>14</v>
      </c>
      <c r="B26" s="1" t="s">
        <v>426</v>
      </c>
      <c r="C26" s="1" t="s">
        <v>678</v>
      </c>
      <c r="D26" s="2" t="s">
        <v>435</v>
      </c>
      <c r="E26" s="1" t="s">
        <v>21</v>
      </c>
      <c r="F26" s="12">
        <v>2714</v>
      </c>
      <c r="G26" s="13">
        <v>17.23</v>
      </c>
      <c r="H26" s="11">
        <f>F26*G26</f>
        <v>46762.22</v>
      </c>
    </row>
    <row r="27" spans="1:8" ht="27.6" x14ac:dyDescent="0.3">
      <c r="A27">
        <v>15</v>
      </c>
      <c r="B27" s="1" t="s">
        <v>426</v>
      </c>
      <c r="C27" s="1" t="s">
        <v>679</v>
      </c>
      <c r="D27" s="2" t="s">
        <v>431</v>
      </c>
      <c r="E27" s="1" t="s">
        <v>21</v>
      </c>
      <c r="F27" s="12">
        <v>2770</v>
      </c>
      <c r="G27" s="13"/>
      <c r="H27" s="11"/>
    </row>
    <row r="28" spans="1:8" x14ac:dyDescent="0.3">
      <c r="A28">
        <v>15</v>
      </c>
      <c r="B28" s="1" t="s">
        <v>426</v>
      </c>
      <c r="C28" s="1" t="s">
        <v>679</v>
      </c>
      <c r="D28" s="2" t="s">
        <v>434</v>
      </c>
      <c r="E28" s="1" t="s">
        <v>106</v>
      </c>
      <c r="F28" s="12">
        <v>3150</v>
      </c>
      <c r="G28" s="13"/>
      <c r="H28" s="11"/>
    </row>
    <row r="29" spans="1:8" ht="41.4" x14ac:dyDescent="0.3">
      <c r="A29">
        <v>16</v>
      </c>
      <c r="B29" s="1" t="s">
        <v>426</v>
      </c>
      <c r="C29" s="1" t="s">
        <v>680</v>
      </c>
      <c r="D29" s="2" t="s">
        <v>438</v>
      </c>
      <c r="E29" s="1" t="s">
        <v>2</v>
      </c>
      <c r="F29" s="12">
        <v>0.1</v>
      </c>
      <c r="G29" s="13">
        <v>6.9799999999999995</v>
      </c>
      <c r="H29" s="11">
        <f>F29*G29</f>
        <v>0.69799999999999995</v>
      </c>
    </row>
    <row r="30" spans="1:8" ht="41.4" x14ac:dyDescent="0.3">
      <c r="A30">
        <v>16</v>
      </c>
      <c r="B30" s="1" t="s">
        <v>426</v>
      </c>
      <c r="C30" s="1" t="s">
        <v>680</v>
      </c>
      <c r="D30" s="2" t="s">
        <v>439</v>
      </c>
      <c r="E30" s="1" t="s">
        <v>2</v>
      </c>
      <c r="F30" s="12">
        <v>0.56999999999999995</v>
      </c>
      <c r="G30" s="13">
        <v>6.98</v>
      </c>
      <c r="H30" s="11">
        <f>F30*G30</f>
        <v>3.9785999999999997</v>
      </c>
    </row>
    <row r="31" spans="1:8" ht="27.6" x14ac:dyDescent="0.3">
      <c r="A31">
        <v>16</v>
      </c>
      <c r="B31" s="1" t="s">
        <v>426</v>
      </c>
      <c r="C31" s="1" t="s">
        <v>680</v>
      </c>
      <c r="D31" s="2" t="s">
        <v>440</v>
      </c>
      <c r="E31" s="1" t="s">
        <v>398</v>
      </c>
      <c r="F31" s="12">
        <v>55</v>
      </c>
      <c r="G31" s="13">
        <v>0.32</v>
      </c>
      <c r="H31" s="11">
        <f>F31*G31</f>
        <v>17.600000000000001</v>
      </c>
    </row>
    <row r="32" spans="1:8" x14ac:dyDescent="0.3">
      <c r="A32">
        <v>17</v>
      </c>
      <c r="B32" s="1" t="s">
        <v>426</v>
      </c>
      <c r="C32" s="1" t="s">
        <v>681</v>
      </c>
      <c r="D32" s="2" t="s">
        <v>244</v>
      </c>
      <c r="E32" s="1" t="s">
        <v>26</v>
      </c>
      <c r="F32" s="12">
        <v>2.52</v>
      </c>
      <c r="G32" s="13">
        <v>0.74</v>
      </c>
      <c r="H32" s="11">
        <f>F32*G32</f>
        <v>1.8648</v>
      </c>
    </row>
    <row r="33" spans="1:8" x14ac:dyDescent="0.3">
      <c r="A33">
        <v>17</v>
      </c>
      <c r="B33" s="1" t="s">
        <v>426</v>
      </c>
      <c r="C33" s="1" t="s">
        <v>681</v>
      </c>
      <c r="D33" s="2" t="s">
        <v>245</v>
      </c>
      <c r="E33" s="1" t="s">
        <v>26</v>
      </c>
      <c r="F33" s="12">
        <v>2.52</v>
      </c>
      <c r="G33" s="13">
        <v>0.74</v>
      </c>
      <c r="H33" s="11">
        <f>F33*G33</f>
        <v>1.8648</v>
      </c>
    </row>
    <row r="34" spans="1:8" x14ac:dyDescent="0.3">
      <c r="A34">
        <v>17</v>
      </c>
      <c r="B34" s="1" t="s">
        <v>426</v>
      </c>
      <c r="C34" s="1" t="s">
        <v>681</v>
      </c>
      <c r="D34" s="2" t="s">
        <v>244</v>
      </c>
      <c r="E34" s="1" t="s">
        <v>26</v>
      </c>
      <c r="F34" s="12">
        <v>75.13</v>
      </c>
      <c r="G34" s="13">
        <v>0.7400000000000001</v>
      </c>
      <c r="H34" s="11">
        <f>F34*G34</f>
        <v>55.596200000000003</v>
      </c>
    </row>
    <row r="35" spans="1:8" x14ac:dyDescent="0.3">
      <c r="A35">
        <v>17</v>
      </c>
      <c r="B35" s="1" t="s">
        <v>426</v>
      </c>
      <c r="C35" s="1" t="s">
        <v>681</v>
      </c>
      <c r="D35" s="2" t="s">
        <v>245</v>
      </c>
      <c r="E35" s="1" t="s">
        <v>26</v>
      </c>
      <c r="F35" s="12">
        <v>75.13</v>
      </c>
      <c r="G35" s="13">
        <v>0.7400000000000001</v>
      </c>
      <c r="H35" s="11">
        <f>F35*G35</f>
        <v>55.596200000000003</v>
      </c>
    </row>
    <row r="36" spans="1:8" ht="41.4" x14ac:dyDescent="0.3">
      <c r="A36">
        <v>18</v>
      </c>
      <c r="B36" s="1" t="s">
        <v>426</v>
      </c>
      <c r="C36" s="1" t="s">
        <v>682</v>
      </c>
      <c r="D36" s="2" t="s">
        <v>429</v>
      </c>
      <c r="E36" s="1" t="s">
        <v>19</v>
      </c>
      <c r="F36" s="12">
        <v>2.52</v>
      </c>
      <c r="G36" s="13"/>
      <c r="H36" s="11"/>
    </row>
    <row r="37" spans="1:8" ht="41.4" x14ac:dyDescent="0.3">
      <c r="A37">
        <v>18</v>
      </c>
      <c r="B37" s="1" t="s">
        <v>426</v>
      </c>
      <c r="C37" s="1" t="s">
        <v>682</v>
      </c>
      <c r="D37" s="2" t="s">
        <v>429</v>
      </c>
      <c r="E37" s="1" t="s">
        <v>19</v>
      </c>
      <c r="F37" s="12">
        <v>75.13</v>
      </c>
      <c r="G37" s="13"/>
      <c r="H37" s="11"/>
    </row>
    <row r="38" spans="1:8" x14ac:dyDescent="0.3">
      <c r="A38">
        <v>19</v>
      </c>
      <c r="B38" s="1" t="s">
        <v>426</v>
      </c>
      <c r="C38" s="1" t="s">
        <v>683</v>
      </c>
      <c r="D38" s="2" t="s">
        <v>434</v>
      </c>
      <c r="E38" s="1" t="s">
        <v>106</v>
      </c>
      <c r="F38" s="12">
        <v>1560</v>
      </c>
      <c r="G38" s="13"/>
      <c r="H38" s="11"/>
    </row>
    <row r="39" spans="1:8" ht="27.6" x14ac:dyDescent="0.3">
      <c r="A39">
        <v>19</v>
      </c>
      <c r="B39" s="1" t="s">
        <v>426</v>
      </c>
      <c r="C39" s="1" t="s">
        <v>683</v>
      </c>
      <c r="D39" s="2" t="s">
        <v>435</v>
      </c>
      <c r="E39" s="1" t="s">
        <v>21</v>
      </c>
      <c r="F39" s="12">
        <v>1338</v>
      </c>
      <c r="G39" s="13">
        <v>17.23</v>
      </c>
      <c r="H39" s="11">
        <f>F39*G39</f>
        <v>23053.74</v>
      </c>
    </row>
    <row r="40" spans="1:8" x14ac:dyDescent="0.3">
      <c r="A40">
        <v>19</v>
      </c>
      <c r="B40" s="1" t="s">
        <v>426</v>
      </c>
      <c r="C40" s="1" t="s">
        <v>683</v>
      </c>
      <c r="D40" s="2" t="s">
        <v>434</v>
      </c>
      <c r="E40" s="1" t="s">
        <v>106</v>
      </c>
      <c r="F40" s="12">
        <v>300</v>
      </c>
      <c r="G40" s="13"/>
      <c r="H40" s="11"/>
    </row>
    <row r="41" spans="1:8" ht="27.6" x14ac:dyDescent="0.3">
      <c r="A41">
        <v>19</v>
      </c>
      <c r="B41" s="1" t="s">
        <v>426</v>
      </c>
      <c r="C41" s="1" t="s">
        <v>683</v>
      </c>
      <c r="D41" s="2" t="s">
        <v>435</v>
      </c>
      <c r="E41" s="1" t="s">
        <v>21</v>
      </c>
      <c r="F41" s="12">
        <v>253</v>
      </c>
      <c r="G41" s="13">
        <v>17.229999999999997</v>
      </c>
      <c r="H41" s="11">
        <f>F41*G41</f>
        <v>4359.1899999999996</v>
      </c>
    </row>
    <row r="42" spans="1:8" x14ac:dyDescent="0.3">
      <c r="A42">
        <v>19</v>
      </c>
      <c r="B42" s="1" t="s">
        <v>426</v>
      </c>
      <c r="C42" s="1" t="s">
        <v>683</v>
      </c>
      <c r="D42" s="2" t="s">
        <v>434</v>
      </c>
      <c r="E42" s="1" t="s">
        <v>106</v>
      </c>
      <c r="F42" s="12">
        <v>1710</v>
      </c>
      <c r="G42" s="13"/>
      <c r="H42" s="11"/>
    </row>
    <row r="43" spans="1:8" ht="27.6" x14ac:dyDescent="0.3">
      <c r="A43">
        <v>19</v>
      </c>
      <c r="B43" s="1" t="s">
        <v>426</v>
      </c>
      <c r="C43" s="1" t="s">
        <v>683</v>
      </c>
      <c r="D43" s="2" t="s">
        <v>435</v>
      </c>
      <c r="E43" s="1" t="s">
        <v>21</v>
      </c>
      <c r="F43" s="12">
        <v>1898</v>
      </c>
      <c r="G43" s="13">
        <v>17.23</v>
      </c>
      <c r="H43" s="11">
        <f>F43*G43</f>
        <v>32702.54</v>
      </c>
    </row>
    <row r="44" spans="1:8" ht="27.6" x14ac:dyDescent="0.3">
      <c r="A44">
        <v>20</v>
      </c>
      <c r="B44" s="1" t="s">
        <v>426</v>
      </c>
      <c r="C44" s="1" t="s">
        <v>684</v>
      </c>
      <c r="D44" s="2" t="s">
        <v>431</v>
      </c>
      <c r="E44" s="1" t="s">
        <v>21</v>
      </c>
      <c r="F44" s="12">
        <v>1368</v>
      </c>
      <c r="G44" s="13"/>
      <c r="H44" s="11"/>
    </row>
    <row r="45" spans="1:8" x14ac:dyDescent="0.3">
      <c r="A45">
        <v>20</v>
      </c>
      <c r="B45" s="1" t="s">
        <v>426</v>
      </c>
      <c r="C45" s="1" t="s">
        <v>684</v>
      </c>
      <c r="D45" s="2" t="s">
        <v>434</v>
      </c>
      <c r="E45" s="1" t="s">
        <v>106</v>
      </c>
      <c r="F45" s="12">
        <v>1560</v>
      </c>
      <c r="G45" s="13"/>
      <c r="H45" s="11"/>
    </row>
    <row r="46" spans="1:8" ht="27.6" x14ac:dyDescent="0.3">
      <c r="A46">
        <v>20</v>
      </c>
      <c r="B46" s="1" t="s">
        <v>426</v>
      </c>
      <c r="C46" s="1" t="s">
        <v>684</v>
      </c>
      <c r="D46" s="2" t="s">
        <v>431</v>
      </c>
      <c r="E46" s="1" t="s">
        <v>21</v>
      </c>
      <c r="F46" s="12">
        <v>263</v>
      </c>
      <c r="G46" s="13"/>
      <c r="H46" s="11"/>
    </row>
    <row r="47" spans="1:8" x14ac:dyDescent="0.3">
      <c r="A47">
        <v>20</v>
      </c>
      <c r="B47" s="1" t="s">
        <v>426</v>
      </c>
      <c r="C47" s="1" t="s">
        <v>684</v>
      </c>
      <c r="D47" s="2" t="s">
        <v>434</v>
      </c>
      <c r="E47" s="1" t="s">
        <v>106</v>
      </c>
      <c r="F47" s="12">
        <v>300</v>
      </c>
      <c r="G47" s="13"/>
      <c r="H47" s="11"/>
    </row>
    <row r="48" spans="1:8" ht="27.6" x14ac:dyDescent="0.3">
      <c r="A48">
        <v>20</v>
      </c>
      <c r="B48" s="1" t="s">
        <v>426</v>
      </c>
      <c r="C48" s="1" t="s">
        <v>684</v>
      </c>
      <c r="D48" s="2" t="s">
        <v>431</v>
      </c>
      <c r="E48" s="1" t="s">
        <v>21</v>
      </c>
      <c r="F48" s="12">
        <v>1937</v>
      </c>
      <c r="G48" s="13"/>
      <c r="H48" s="11"/>
    </row>
    <row r="49" spans="1:8" x14ac:dyDescent="0.3">
      <c r="A49">
        <v>20</v>
      </c>
      <c r="B49" s="1" t="s">
        <v>426</v>
      </c>
      <c r="C49" s="1" t="s">
        <v>684</v>
      </c>
      <c r="D49" s="2" t="s">
        <v>434</v>
      </c>
      <c r="E49" s="1" t="s">
        <v>106</v>
      </c>
      <c r="F49" s="12">
        <v>1710</v>
      </c>
      <c r="G49" s="13"/>
      <c r="H49" s="11"/>
    </row>
  </sheetData>
  <autoFilter ref="A1:G49" xr:uid="{D804E5B4-2523-45A6-963A-2A83F445A307}"/>
  <conditionalFormatting sqref="B2:G49">
    <cfRule type="expression" dxfId="50" priority="1">
      <formula>$I2&gt;0</formula>
    </cfRule>
  </conditionalFormatting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CA91A-3C8E-4B40-A29F-FC27BB8523F3}">
  <sheetPr codeName="Лист44">
    <tabColor rgb="FF00B050"/>
  </sheetPr>
  <dimension ref="A1:H27"/>
  <sheetViews>
    <sheetView tabSelected="1" workbookViewId="0">
      <selection activeCell="B27" sqref="B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41.4" x14ac:dyDescent="0.3">
      <c r="A2">
        <v>1</v>
      </c>
      <c r="B2" s="1" t="s">
        <v>389</v>
      </c>
      <c r="C2" s="1" t="s">
        <v>689</v>
      </c>
      <c r="D2" s="2" t="s">
        <v>346</v>
      </c>
      <c r="E2" s="1" t="s">
        <v>21</v>
      </c>
      <c r="F2" s="12">
        <v>96</v>
      </c>
      <c r="G2" s="13"/>
      <c r="H2" s="11"/>
    </row>
    <row r="3" spans="1:8" ht="41.4" x14ac:dyDescent="0.3">
      <c r="A3">
        <v>1</v>
      </c>
      <c r="B3" s="1" t="s">
        <v>389</v>
      </c>
      <c r="C3" s="1" t="s">
        <v>689</v>
      </c>
      <c r="D3" s="2" t="s">
        <v>361</v>
      </c>
      <c r="E3" s="1" t="s">
        <v>21</v>
      </c>
      <c r="F3" s="12">
        <v>57</v>
      </c>
      <c r="G3" s="13"/>
      <c r="H3" s="11"/>
    </row>
    <row r="4" spans="1:8" x14ac:dyDescent="0.3">
      <c r="A4">
        <v>1</v>
      </c>
      <c r="B4" s="1" t="s">
        <v>389</v>
      </c>
      <c r="C4" s="1" t="s">
        <v>689</v>
      </c>
      <c r="D4" s="2" t="s">
        <v>79</v>
      </c>
      <c r="E4" s="1" t="s">
        <v>21</v>
      </c>
      <c r="F4" s="12">
        <v>57</v>
      </c>
      <c r="G4" s="13"/>
      <c r="H4" s="11"/>
    </row>
    <row r="5" spans="1:8" ht="27.6" x14ac:dyDescent="0.3">
      <c r="A5">
        <v>2</v>
      </c>
      <c r="B5" s="1" t="s">
        <v>389</v>
      </c>
      <c r="C5" s="1" t="s">
        <v>690</v>
      </c>
      <c r="D5" s="2" t="s">
        <v>348</v>
      </c>
      <c r="E5" s="1" t="s">
        <v>21</v>
      </c>
      <c r="F5" s="12">
        <v>209</v>
      </c>
      <c r="G5" s="13"/>
      <c r="H5" s="11"/>
    </row>
    <row r="6" spans="1:8" ht="27.6" x14ac:dyDescent="0.3">
      <c r="A6">
        <v>2</v>
      </c>
      <c r="B6" s="1" t="s">
        <v>389</v>
      </c>
      <c r="C6" s="1" t="s">
        <v>690</v>
      </c>
      <c r="D6" s="2" t="s">
        <v>349</v>
      </c>
      <c r="E6" s="1" t="s">
        <v>21</v>
      </c>
      <c r="F6" s="12">
        <v>209</v>
      </c>
      <c r="G6" s="13"/>
      <c r="H6" s="11"/>
    </row>
    <row r="7" spans="1:8" x14ac:dyDescent="0.3">
      <c r="A7">
        <v>2</v>
      </c>
      <c r="B7" s="1" t="s">
        <v>389</v>
      </c>
      <c r="C7" s="1" t="s">
        <v>690</v>
      </c>
      <c r="D7" s="2" t="s">
        <v>350</v>
      </c>
      <c r="E7" s="1" t="s">
        <v>21</v>
      </c>
      <c r="F7" s="12">
        <v>209</v>
      </c>
      <c r="G7" s="13">
        <v>30</v>
      </c>
      <c r="H7" s="11">
        <f>F7*G7</f>
        <v>6270</v>
      </c>
    </row>
    <row r="8" spans="1:8" ht="27.6" x14ac:dyDescent="0.3">
      <c r="A8">
        <v>2</v>
      </c>
      <c r="B8" s="1" t="s">
        <v>389</v>
      </c>
      <c r="C8" s="1" t="s">
        <v>690</v>
      </c>
      <c r="D8" s="2" t="s">
        <v>351</v>
      </c>
      <c r="E8" s="1" t="s">
        <v>106</v>
      </c>
      <c r="F8" s="12">
        <v>199</v>
      </c>
      <c r="G8" s="13">
        <v>2</v>
      </c>
      <c r="H8" s="11">
        <f>F8*G8</f>
        <v>398</v>
      </c>
    </row>
    <row r="9" spans="1:8" ht="27.6" x14ac:dyDescent="0.3">
      <c r="A9">
        <v>4</v>
      </c>
      <c r="B9" s="1" t="s">
        <v>389</v>
      </c>
      <c r="C9" s="1" t="s">
        <v>688</v>
      </c>
      <c r="D9" s="2" t="s">
        <v>353</v>
      </c>
      <c r="E9" s="1" t="s">
        <v>106</v>
      </c>
      <c r="F9" s="12">
        <v>45</v>
      </c>
      <c r="G9" s="13"/>
      <c r="H9" s="11"/>
    </row>
    <row r="10" spans="1:8" ht="27.6" x14ac:dyDescent="0.3">
      <c r="A10">
        <v>3</v>
      </c>
      <c r="B10" s="1" t="s">
        <v>389</v>
      </c>
      <c r="C10" s="1" t="s">
        <v>687</v>
      </c>
      <c r="D10" s="2" t="s">
        <v>354</v>
      </c>
      <c r="E10" s="1" t="s">
        <v>21</v>
      </c>
      <c r="F10" s="12">
        <v>118</v>
      </c>
      <c r="G10" s="13"/>
      <c r="H10" s="11"/>
    </row>
    <row r="11" spans="1:8" ht="27.6" x14ac:dyDescent="0.3">
      <c r="A11">
        <v>3</v>
      </c>
      <c r="B11" s="1" t="s">
        <v>389</v>
      </c>
      <c r="C11" s="1" t="s">
        <v>687</v>
      </c>
      <c r="D11" s="2" t="s">
        <v>355</v>
      </c>
      <c r="E11" s="1" t="s">
        <v>21</v>
      </c>
      <c r="F11" s="12">
        <v>118</v>
      </c>
      <c r="G11" s="13"/>
      <c r="H11" s="11"/>
    </row>
    <row r="12" spans="1:8" ht="27.6" x14ac:dyDescent="0.3">
      <c r="A12">
        <v>3</v>
      </c>
      <c r="B12" s="1" t="s">
        <v>389</v>
      </c>
      <c r="C12" s="1" t="s">
        <v>687</v>
      </c>
      <c r="D12" s="2" t="s">
        <v>356</v>
      </c>
      <c r="E12" s="1" t="s">
        <v>21</v>
      </c>
      <c r="F12" s="12">
        <v>118</v>
      </c>
      <c r="G12" s="13">
        <v>16.999999999999996</v>
      </c>
      <c r="H12" s="11">
        <f>F12*G12</f>
        <v>2005.9999999999995</v>
      </c>
    </row>
    <row r="13" spans="1:8" ht="27.6" x14ac:dyDescent="0.3">
      <c r="A13">
        <v>3</v>
      </c>
      <c r="B13" s="1" t="s">
        <v>389</v>
      </c>
      <c r="C13" s="1" t="s">
        <v>687</v>
      </c>
      <c r="D13" s="2" t="s">
        <v>357</v>
      </c>
      <c r="E13" s="1" t="s">
        <v>106</v>
      </c>
      <c r="F13" s="12">
        <v>263</v>
      </c>
      <c r="G13" s="13">
        <v>122.99999999999999</v>
      </c>
      <c r="H13" s="11">
        <f>F13*G13</f>
        <v>32348.999999999996</v>
      </c>
    </row>
    <row r="14" spans="1:8" ht="27.6" x14ac:dyDescent="0.3">
      <c r="A14">
        <v>3</v>
      </c>
      <c r="B14" s="1" t="s">
        <v>389</v>
      </c>
      <c r="C14" s="1" t="s">
        <v>687</v>
      </c>
      <c r="D14" s="2" t="s">
        <v>358</v>
      </c>
      <c r="E14" s="1" t="s">
        <v>106</v>
      </c>
      <c r="F14" s="12">
        <v>263</v>
      </c>
      <c r="G14" s="13">
        <v>33.200000000000003</v>
      </c>
      <c r="H14" s="11">
        <f>F14*G14</f>
        <v>8731.6</v>
      </c>
    </row>
    <row r="15" spans="1:8" ht="41.4" x14ac:dyDescent="0.3">
      <c r="A15">
        <v>1</v>
      </c>
      <c r="B15" s="1" t="s">
        <v>389</v>
      </c>
      <c r="C15" s="1" t="s">
        <v>689</v>
      </c>
      <c r="D15" s="2" t="s">
        <v>346</v>
      </c>
      <c r="E15" s="1" t="s">
        <v>21</v>
      </c>
      <c r="F15" s="12">
        <v>96</v>
      </c>
      <c r="G15" s="13"/>
      <c r="H15" s="11"/>
    </row>
    <row r="16" spans="1:8" ht="41.4" x14ac:dyDescent="0.3">
      <c r="A16">
        <v>1</v>
      </c>
      <c r="B16" s="1" t="s">
        <v>389</v>
      </c>
      <c r="C16" s="1" t="s">
        <v>689</v>
      </c>
      <c r="D16" s="2" t="s">
        <v>361</v>
      </c>
      <c r="E16" s="1" t="s">
        <v>21</v>
      </c>
      <c r="F16" s="12">
        <v>57</v>
      </c>
      <c r="G16" s="13"/>
      <c r="H16" s="11"/>
    </row>
    <row r="17" spans="1:8" x14ac:dyDescent="0.3">
      <c r="A17">
        <v>1</v>
      </c>
      <c r="B17" s="1" t="s">
        <v>389</v>
      </c>
      <c r="C17" s="1" t="s">
        <v>689</v>
      </c>
      <c r="D17" s="2" t="s">
        <v>79</v>
      </c>
      <c r="E17" s="1" t="s">
        <v>21</v>
      </c>
      <c r="F17" s="12">
        <v>57</v>
      </c>
      <c r="G17" s="13"/>
      <c r="H17" s="11"/>
    </row>
    <row r="18" spans="1:8" ht="27.6" x14ac:dyDescent="0.3">
      <c r="A18">
        <v>1</v>
      </c>
      <c r="B18" s="1" t="s">
        <v>389</v>
      </c>
      <c r="C18" s="1" t="s">
        <v>689</v>
      </c>
      <c r="D18" s="2" t="s">
        <v>348</v>
      </c>
      <c r="E18" s="1" t="s">
        <v>21</v>
      </c>
      <c r="F18" s="12">
        <v>209</v>
      </c>
      <c r="G18" s="13"/>
      <c r="H18" s="11"/>
    </row>
    <row r="19" spans="1:8" ht="27.6" x14ac:dyDescent="0.3">
      <c r="A19">
        <v>1</v>
      </c>
      <c r="B19" s="1" t="s">
        <v>389</v>
      </c>
      <c r="C19" s="1" t="s">
        <v>689</v>
      </c>
      <c r="D19" s="2" t="s">
        <v>349</v>
      </c>
      <c r="E19" s="1" t="s">
        <v>21</v>
      </c>
      <c r="F19" s="12">
        <v>209</v>
      </c>
      <c r="G19" s="13"/>
      <c r="H19" s="11"/>
    </row>
    <row r="20" spans="1:8" x14ac:dyDescent="0.3">
      <c r="A20">
        <v>1</v>
      </c>
      <c r="B20" s="1" t="s">
        <v>389</v>
      </c>
      <c r="C20" s="1" t="s">
        <v>689</v>
      </c>
      <c r="D20" s="2" t="s">
        <v>350</v>
      </c>
      <c r="E20" s="1" t="s">
        <v>21</v>
      </c>
      <c r="F20" s="12">
        <v>209</v>
      </c>
      <c r="G20" s="13">
        <v>30</v>
      </c>
      <c r="H20" s="11">
        <f>F20*G20</f>
        <v>6270</v>
      </c>
    </row>
    <row r="21" spans="1:8" ht="27.6" x14ac:dyDescent="0.3">
      <c r="A21">
        <v>1</v>
      </c>
      <c r="B21" s="1" t="s">
        <v>389</v>
      </c>
      <c r="C21" s="1" t="s">
        <v>689</v>
      </c>
      <c r="D21" s="2" t="s">
        <v>351</v>
      </c>
      <c r="E21" s="1" t="s">
        <v>106</v>
      </c>
      <c r="F21" s="12">
        <v>199</v>
      </c>
      <c r="G21" s="13">
        <v>2</v>
      </c>
      <c r="H21" s="11">
        <f>F21*G21</f>
        <v>398</v>
      </c>
    </row>
    <row r="22" spans="1:8" ht="27.6" x14ac:dyDescent="0.3">
      <c r="A22">
        <v>1</v>
      </c>
      <c r="B22" s="1" t="s">
        <v>389</v>
      </c>
      <c r="C22" s="1" t="s">
        <v>689</v>
      </c>
      <c r="D22" s="2" t="s">
        <v>353</v>
      </c>
      <c r="E22" s="1" t="s">
        <v>106</v>
      </c>
      <c r="F22" s="12">
        <v>45</v>
      </c>
      <c r="G22" s="13"/>
      <c r="H22" s="11"/>
    </row>
    <row r="23" spans="1:8" ht="27.6" x14ac:dyDescent="0.3">
      <c r="A23">
        <v>1</v>
      </c>
      <c r="B23" s="1" t="s">
        <v>389</v>
      </c>
      <c r="C23" s="1" t="s">
        <v>689</v>
      </c>
      <c r="D23" s="2" t="s">
        <v>354</v>
      </c>
      <c r="E23" s="1" t="s">
        <v>21</v>
      </c>
      <c r="F23" s="12">
        <v>118</v>
      </c>
      <c r="G23" s="13"/>
      <c r="H23" s="11"/>
    </row>
    <row r="24" spans="1:8" ht="27.6" x14ac:dyDescent="0.3">
      <c r="A24">
        <v>1</v>
      </c>
      <c r="B24" s="1" t="s">
        <v>389</v>
      </c>
      <c r="C24" s="1" t="s">
        <v>689</v>
      </c>
      <c r="D24" s="2" t="s">
        <v>355</v>
      </c>
      <c r="E24" s="1" t="s">
        <v>21</v>
      </c>
      <c r="F24" s="12">
        <v>118</v>
      </c>
      <c r="G24" s="13"/>
      <c r="H24" s="11"/>
    </row>
    <row r="25" spans="1:8" ht="27.6" x14ac:dyDescent="0.3">
      <c r="A25">
        <v>1</v>
      </c>
      <c r="B25" s="1" t="s">
        <v>389</v>
      </c>
      <c r="C25" s="1" t="s">
        <v>689</v>
      </c>
      <c r="D25" s="2" t="s">
        <v>356</v>
      </c>
      <c r="E25" s="1" t="s">
        <v>21</v>
      </c>
      <c r="F25" s="12">
        <v>118</v>
      </c>
      <c r="G25" s="13">
        <v>16.999999999999996</v>
      </c>
      <c r="H25" s="11">
        <f>F25*G25</f>
        <v>2005.9999999999995</v>
      </c>
    </row>
    <row r="26" spans="1:8" ht="27.6" x14ac:dyDescent="0.3">
      <c r="A26">
        <v>1</v>
      </c>
      <c r="B26" s="1" t="s">
        <v>389</v>
      </c>
      <c r="C26" s="1" t="s">
        <v>689</v>
      </c>
      <c r="D26" s="2" t="s">
        <v>357</v>
      </c>
      <c r="E26" s="1" t="s">
        <v>106</v>
      </c>
      <c r="F26" s="12">
        <v>263</v>
      </c>
      <c r="G26" s="13">
        <v>122.99999999999999</v>
      </c>
      <c r="H26" s="11">
        <f>F26*G26</f>
        <v>32348.999999999996</v>
      </c>
    </row>
    <row r="27" spans="1:8" ht="27.6" x14ac:dyDescent="0.3">
      <c r="A27">
        <v>1</v>
      </c>
      <c r="B27" s="1" t="s">
        <v>389</v>
      </c>
      <c r="C27" s="1" t="s">
        <v>689</v>
      </c>
      <c r="D27" s="2" t="s">
        <v>358</v>
      </c>
      <c r="E27" s="1" t="s">
        <v>106</v>
      </c>
      <c r="F27" s="12">
        <v>263</v>
      </c>
      <c r="G27" s="13">
        <v>33.200000000000003</v>
      </c>
      <c r="H27" s="11">
        <f>F27*G27</f>
        <v>8731.6</v>
      </c>
    </row>
  </sheetData>
  <autoFilter ref="A1:G27" xr:uid="{49C4E761-839B-4CF0-9D27-8F3A138FF82B}"/>
  <conditionalFormatting sqref="B2:G27">
    <cfRule type="expression" dxfId="49" priority="1">
      <formula>$I2&gt;0</formula>
    </cfRule>
  </conditionalFormatting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36BD2-8DDE-47C4-B20D-7CCB155D71CF}">
  <sheetPr codeName="Лист45">
    <tabColor rgb="FF00B050"/>
  </sheetPr>
  <dimension ref="A1:H9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41.4" x14ac:dyDescent="0.3">
      <c r="A2">
        <v>2</v>
      </c>
      <c r="B2" s="1" t="s">
        <v>390</v>
      </c>
      <c r="C2" s="1" t="s">
        <v>692</v>
      </c>
      <c r="D2" s="2" t="s">
        <v>346</v>
      </c>
      <c r="E2" s="1" t="s">
        <v>21</v>
      </c>
      <c r="F2" s="12">
        <v>127</v>
      </c>
      <c r="G2" s="13"/>
      <c r="H2" s="11"/>
    </row>
    <row r="3" spans="1:8" ht="41.4" x14ac:dyDescent="0.3">
      <c r="A3">
        <v>2</v>
      </c>
      <c r="B3" s="1" t="s">
        <v>390</v>
      </c>
      <c r="C3" s="1" t="s">
        <v>692</v>
      </c>
      <c r="D3" s="2" t="s">
        <v>361</v>
      </c>
      <c r="E3" s="1" t="s">
        <v>21</v>
      </c>
      <c r="F3" s="12">
        <v>116</v>
      </c>
      <c r="G3" s="13"/>
      <c r="H3" s="11"/>
    </row>
    <row r="4" spans="1:8" x14ac:dyDescent="0.3">
      <c r="A4">
        <v>2</v>
      </c>
      <c r="B4" s="1" t="s">
        <v>390</v>
      </c>
      <c r="C4" s="1" t="s">
        <v>692</v>
      </c>
      <c r="D4" s="2" t="s">
        <v>79</v>
      </c>
      <c r="E4" s="1" t="s">
        <v>21</v>
      </c>
      <c r="F4" s="12">
        <v>116</v>
      </c>
      <c r="G4" s="13"/>
      <c r="H4" s="11"/>
    </row>
    <row r="5" spans="1:8" ht="27.6" x14ac:dyDescent="0.3">
      <c r="A5">
        <v>3</v>
      </c>
      <c r="B5" s="1" t="s">
        <v>390</v>
      </c>
      <c r="C5" s="1" t="s">
        <v>693</v>
      </c>
      <c r="D5" s="2" t="s">
        <v>348</v>
      </c>
      <c r="E5" s="1" t="s">
        <v>21</v>
      </c>
      <c r="F5" s="12">
        <v>292</v>
      </c>
      <c r="G5" s="13"/>
      <c r="H5" s="11"/>
    </row>
    <row r="6" spans="1:8" ht="27.6" x14ac:dyDescent="0.3">
      <c r="A6">
        <v>3</v>
      </c>
      <c r="B6" s="1" t="s">
        <v>390</v>
      </c>
      <c r="C6" s="1" t="s">
        <v>693</v>
      </c>
      <c r="D6" s="2" t="s">
        <v>349</v>
      </c>
      <c r="E6" s="1" t="s">
        <v>21</v>
      </c>
      <c r="F6" s="12">
        <v>292</v>
      </c>
      <c r="G6" s="13"/>
      <c r="H6" s="11"/>
    </row>
    <row r="7" spans="1:8" x14ac:dyDescent="0.3">
      <c r="A7">
        <v>3</v>
      </c>
      <c r="B7" s="1" t="s">
        <v>390</v>
      </c>
      <c r="C7" s="1" t="s">
        <v>693</v>
      </c>
      <c r="D7" s="2" t="s">
        <v>350</v>
      </c>
      <c r="E7" s="1" t="s">
        <v>21</v>
      </c>
      <c r="F7" s="12">
        <v>292</v>
      </c>
      <c r="G7" s="13">
        <v>30</v>
      </c>
      <c r="H7" s="11">
        <f>F7*G7</f>
        <v>8760</v>
      </c>
    </row>
    <row r="8" spans="1:8" ht="27.6" x14ac:dyDescent="0.3">
      <c r="A8">
        <v>3</v>
      </c>
      <c r="B8" s="1" t="s">
        <v>390</v>
      </c>
      <c r="C8" s="1" t="s">
        <v>693</v>
      </c>
      <c r="D8" s="2" t="s">
        <v>351</v>
      </c>
      <c r="E8" s="1" t="s">
        <v>106</v>
      </c>
      <c r="F8" s="12">
        <v>224</v>
      </c>
      <c r="G8" s="13">
        <v>2</v>
      </c>
      <c r="H8" s="11">
        <f>F8*G8</f>
        <v>448</v>
      </c>
    </row>
    <row r="9" spans="1:8" ht="27.6" x14ac:dyDescent="0.3">
      <c r="A9">
        <v>1</v>
      </c>
      <c r="B9" s="1" t="s">
        <v>390</v>
      </c>
      <c r="C9" s="1" t="s">
        <v>691</v>
      </c>
      <c r="D9" s="2" t="s">
        <v>353</v>
      </c>
      <c r="E9" s="1" t="s">
        <v>106</v>
      </c>
      <c r="F9" s="12">
        <v>70</v>
      </c>
      <c r="G9" s="13"/>
      <c r="H9" s="11"/>
    </row>
  </sheetData>
  <autoFilter ref="A1:G9" xr:uid="{49C4E761-839B-4CF0-9D27-8F3A138FF82B}"/>
  <conditionalFormatting sqref="B2:G9">
    <cfRule type="expression" dxfId="48" priority="1">
      <formula>$I2&gt;0</formula>
    </cfRule>
  </conditionalFormatting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FBB9E-900E-4925-857F-EA4BC24B976D}">
  <sheetPr codeName="Лист46">
    <tabColor rgb="FF00B050"/>
  </sheetPr>
  <dimension ref="A1:H14"/>
  <sheetViews>
    <sheetView topLeftCell="A4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41.4" x14ac:dyDescent="0.3">
      <c r="A2">
        <v>3</v>
      </c>
      <c r="B2" s="1" t="s">
        <v>391</v>
      </c>
      <c r="C2" s="1" t="s">
        <v>695</v>
      </c>
      <c r="D2" s="2" t="s">
        <v>346</v>
      </c>
      <c r="E2" s="1" t="s">
        <v>21</v>
      </c>
      <c r="F2" s="12">
        <v>207</v>
      </c>
      <c r="G2" s="13"/>
      <c r="H2" s="11"/>
    </row>
    <row r="3" spans="1:8" ht="41.4" x14ac:dyDescent="0.3">
      <c r="A3">
        <v>3</v>
      </c>
      <c r="B3" s="1" t="s">
        <v>391</v>
      </c>
      <c r="C3" s="1" t="s">
        <v>695</v>
      </c>
      <c r="D3" s="2" t="s">
        <v>361</v>
      </c>
      <c r="E3" s="1" t="s">
        <v>21</v>
      </c>
      <c r="F3" s="12">
        <v>166</v>
      </c>
      <c r="G3" s="13"/>
      <c r="H3" s="11"/>
    </row>
    <row r="4" spans="1:8" x14ac:dyDescent="0.3">
      <c r="A4">
        <v>3</v>
      </c>
      <c r="B4" s="1" t="s">
        <v>391</v>
      </c>
      <c r="C4" s="1" t="s">
        <v>695</v>
      </c>
      <c r="D4" s="2" t="s">
        <v>79</v>
      </c>
      <c r="E4" s="1" t="s">
        <v>21</v>
      </c>
      <c r="F4" s="12">
        <v>166</v>
      </c>
      <c r="G4" s="13"/>
      <c r="H4" s="11"/>
    </row>
    <row r="5" spans="1:8" ht="27.6" x14ac:dyDescent="0.3">
      <c r="A5">
        <v>4</v>
      </c>
      <c r="B5" s="1" t="s">
        <v>391</v>
      </c>
      <c r="C5" s="1" t="s">
        <v>696</v>
      </c>
      <c r="D5" s="2" t="s">
        <v>348</v>
      </c>
      <c r="E5" s="1" t="s">
        <v>21</v>
      </c>
      <c r="F5" s="12">
        <v>373</v>
      </c>
      <c r="G5" s="13"/>
      <c r="H5" s="11"/>
    </row>
    <row r="6" spans="1:8" ht="27.6" x14ac:dyDescent="0.3">
      <c r="A6">
        <v>4</v>
      </c>
      <c r="B6" s="1" t="s">
        <v>391</v>
      </c>
      <c r="C6" s="1" t="s">
        <v>696</v>
      </c>
      <c r="D6" s="2" t="s">
        <v>349</v>
      </c>
      <c r="E6" s="1" t="s">
        <v>21</v>
      </c>
      <c r="F6" s="12">
        <v>373</v>
      </c>
      <c r="G6" s="13"/>
      <c r="H6" s="11"/>
    </row>
    <row r="7" spans="1:8" x14ac:dyDescent="0.3">
      <c r="A7">
        <v>4</v>
      </c>
      <c r="B7" s="1" t="s">
        <v>391</v>
      </c>
      <c r="C7" s="1" t="s">
        <v>696</v>
      </c>
      <c r="D7" s="2" t="s">
        <v>350</v>
      </c>
      <c r="E7" s="1" t="s">
        <v>21</v>
      </c>
      <c r="F7" s="12">
        <v>373</v>
      </c>
      <c r="G7" s="13">
        <v>30</v>
      </c>
      <c r="H7" s="11">
        <f>F7*G7</f>
        <v>11190</v>
      </c>
    </row>
    <row r="8" spans="1:8" ht="27.6" x14ac:dyDescent="0.3">
      <c r="A8">
        <v>4</v>
      </c>
      <c r="B8" s="1" t="s">
        <v>391</v>
      </c>
      <c r="C8" s="1" t="s">
        <v>696</v>
      </c>
      <c r="D8" s="2" t="s">
        <v>351</v>
      </c>
      <c r="E8" s="1" t="s">
        <v>106</v>
      </c>
      <c r="F8" s="12">
        <v>217</v>
      </c>
      <c r="G8" s="13">
        <v>2</v>
      </c>
      <c r="H8" s="11">
        <f>F8*G8</f>
        <v>434</v>
      </c>
    </row>
    <row r="9" spans="1:8" ht="27.6" x14ac:dyDescent="0.3">
      <c r="A9">
        <v>1</v>
      </c>
      <c r="B9" s="1" t="s">
        <v>391</v>
      </c>
      <c r="C9" s="1" t="s">
        <v>632</v>
      </c>
      <c r="D9" s="2" t="s">
        <v>353</v>
      </c>
      <c r="E9" s="1" t="s">
        <v>106</v>
      </c>
      <c r="F9" s="12">
        <v>63</v>
      </c>
      <c r="G9" s="13"/>
      <c r="H9" s="11"/>
    </row>
    <row r="10" spans="1:8" ht="27.6" x14ac:dyDescent="0.3">
      <c r="A10">
        <v>2</v>
      </c>
      <c r="B10" s="1" t="s">
        <v>391</v>
      </c>
      <c r="C10" s="1" t="s">
        <v>694</v>
      </c>
      <c r="D10" s="2" t="s">
        <v>354</v>
      </c>
      <c r="E10" s="1" t="s">
        <v>21</v>
      </c>
      <c r="F10" s="12">
        <v>113</v>
      </c>
      <c r="G10" s="13"/>
      <c r="H10" s="11"/>
    </row>
    <row r="11" spans="1:8" ht="27.6" x14ac:dyDescent="0.3">
      <c r="A11">
        <v>2</v>
      </c>
      <c r="B11" s="1" t="s">
        <v>391</v>
      </c>
      <c r="C11" s="1" t="s">
        <v>694</v>
      </c>
      <c r="D11" s="2" t="s">
        <v>355</v>
      </c>
      <c r="E11" s="1" t="s">
        <v>21</v>
      </c>
      <c r="F11" s="12">
        <v>113</v>
      </c>
      <c r="G11" s="13"/>
      <c r="H11" s="11"/>
    </row>
    <row r="12" spans="1:8" ht="27.6" x14ac:dyDescent="0.3">
      <c r="A12">
        <v>2</v>
      </c>
      <c r="B12" s="1" t="s">
        <v>391</v>
      </c>
      <c r="C12" s="1" t="s">
        <v>694</v>
      </c>
      <c r="D12" s="2" t="s">
        <v>356</v>
      </c>
      <c r="E12" s="1" t="s">
        <v>21</v>
      </c>
      <c r="F12" s="12">
        <v>112.99999999999999</v>
      </c>
      <c r="G12" s="13">
        <v>17.000000000000004</v>
      </c>
      <c r="H12" s="11">
        <f>F12*G12</f>
        <v>1921.0000000000002</v>
      </c>
    </row>
    <row r="13" spans="1:8" ht="27.6" x14ac:dyDescent="0.3">
      <c r="A13">
        <v>2</v>
      </c>
      <c r="B13" s="1" t="s">
        <v>391</v>
      </c>
      <c r="C13" s="1" t="s">
        <v>694</v>
      </c>
      <c r="D13" s="2" t="s">
        <v>357</v>
      </c>
      <c r="E13" s="1" t="s">
        <v>106</v>
      </c>
      <c r="F13" s="12">
        <v>252</v>
      </c>
      <c r="G13" s="13">
        <v>123</v>
      </c>
      <c r="H13" s="11">
        <f>F13*G13</f>
        <v>30996</v>
      </c>
    </row>
    <row r="14" spans="1:8" ht="27.6" x14ac:dyDescent="0.3">
      <c r="A14">
        <v>2</v>
      </c>
      <c r="B14" s="1" t="s">
        <v>391</v>
      </c>
      <c r="C14" s="1" t="s">
        <v>694</v>
      </c>
      <c r="D14" s="2" t="s">
        <v>358</v>
      </c>
      <c r="E14" s="1" t="s">
        <v>106</v>
      </c>
      <c r="F14" s="12">
        <v>252</v>
      </c>
      <c r="G14" s="13">
        <v>33.199999999999996</v>
      </c>
      <c r="H14" s="11">
        <f>F14*G14</f>
        <v>8366.4</v>
      </c>
    </row>
  </sheetData>
  <autoFilter ref="A1:G14" xr:uid="{49C4E761-839B-4CF0-9D27-8F3A138FF82B}"/>
  <conditionalFormatting sqref="B2:G14">
    <cfRule type="expression" dxfId="47" priority="1">
      <formula>$I2&gt;0</formula>
    </cfRule>
  </conditionalFormatting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33B2C-8F33-4816-B61C-EB98630623FA}">
  <sheetPr codeName="Лист47">
    <tabColor rgb="FF00B050"/>
  </sheetPr>
  <dimension ref="A1:H14"/>
  <sheetViews>
    <sheetView topLeftCell="A4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41.4" x14ac:dyDescent="0.3">
      <c r="A2">
        <v>2</v>
      </c>
      <c r="B2" s="1" t="s">
        <v>392</v>
      </c>
      <c r="C2" s="1" t="s">
        <v>698</v>
      </c>
      <c r="D2" s="2" t="s">
        <v>346</v>
      </c>
      <c r="E2" s="1" t="s">
        <v>21</v>
      </c>
      <c r="F2" s="12">
        <v>75</v>
      </c>
      <c r="G2" s="13"/>
      <c r="H2" s="11"/>
    </row>
    <row r="3" spans="1:8" ht="41.4" x14ac:dyDescent="0.3">
      <c r="A3">
        <v>2</v>
      </c>
      <c r="B3" s="1" t="s">
        <v>392</v>
      </c>
      <c r="C3" s="1" t="s">
        <v>698</v>
      </c>
      <c r="D3" s="2" t="s">
        <v>361</v>
      </c>
      <c r="E3" s="1" t="s">
        <v>21</v>
      </c>
      <c r="F3" s="12">
        <v>38</v>
      </c>
      <c r="G3" s="13"/>
      <c r="H3" s="11"/>
    </row>
    <row r="4" spans="1:8" x14ac:dyDescent="0.3">
      <c r="A4">
        <v>2</v>
      </c>
      <c r="B4" s="1" t="s">
        <v>392</v>
      </c>
      <c r="C4" s="1" t="s">
        <v>698</v>
      </c>
      <c r="D4" s="2" t="s">
        <v>79</v>
      </c>
      <c r="E4" s="1" t="s">
        <v>21</v>
      </c>
      <c r="F4" s="12">
        <v>38</v>
      </c>
      <c r="G4" s="13"/>
      <c r="H4" s="11"/>
    </row>
    <row r="5" spans="1:8" ht="27.6" x14ac:dyDescent="0.3">
      <c r="A5">
        <v>3</v>
      </c>
      <c r="B5" s="1" t="s">
        <v>392</v>
      </c>
      <c r="C5" s="1" t="s">
        <v>699</v>
      </c>
      <c r="D5" s="2" t="s">
        <v>348</v>
      </c>
      <c r="E5" s="1" t="s">
        <v>21</v>
      </c>
      <c r="F5" s="12">
        <v>172</v>
      </c>
      <c r="G5" s="13"/>
      <c r="H5" s="11"/>
    </row>
    <row r="6" spans="1:8" ht="27.6" x14ac:dyDescent="0.3">
      <c r="A6">
        <v>3</v>
      </c>
      <c r="B6" s="1" t="s">
        <v>392</v>
      </c>
      <c r="C6" s="1" t="s">
        <v>699</v>
      </c>
      <c r="D6" s="2" t="s">
        <v>349</v>
      </c>
      <c r="E6" s="1" t="s">
        <v>21</v>
      </c>
      <c r="F6" s="12">
        <v>172</v>
      </c>
      <c r="G6" s="13"/>
      <c r="H6" s="11"/>
    </row>
    <row r="7" spans="1:8" x14ac:dyDescent="0.3">
      <c r="A7">
        <v>3</v>
      </c>
      <c r="B7" s="1" t="s">
        <v>392</v>
      </c>
      <c r="C7" s="1" t="s">
        <v>699</v>
      </c>
      <c r="D7" s="2" t="s">
        <v>350</v>
      </c>
      <c r="E7" s="1" t="s">
        <v>21</v>
      </c>
      <c r="F7" s="12">
        <v>172</v>
      </c>
      <c r="G7" s="13">
        <v>30</v>
      </c>
      <c r="H7" s="11">
        <f>F7*G7</f>
        <v>5160</v>
      </c>
    </row>
    <row r="8" spans="1:8" ht="27.6" x14ac:dyDescent="0.3">
      <c r="A8">
        <v>3</v>
      </c>
      <c r="B8" s="1" t="s">
        <v>392</v>
      </c>
      <c r="C8" s="1" t="s">
        <v>699</v>
      </c>
      <c r="D8" s="2" t="s">
        <v>351</v>
      </c>
      <c r="E8" s="1" t="s">
        <v>106</v>
      </c>
      <c r="F8" s="12">
        <v>193</v>
      </c>
      <c r="G8" s="13">
        <v>2</v>
      </c>
      <c r="H8" s="11">
        <f>F8*G8</f>
        <v>386</v>
      </c>
    </row>
    <row r="9" spans="1:8" ht="27.6" x14ac:dyDescent="0.3">
      <c r="A9">
        <v>4</v>
      </c>
      <c r="B9" s="1" t="s">
        <v>392</v>
      </c>
      <c r="C9" s="1" t="s">
        <v>633</v>
      </c>
      <c r="D9" s="2" t="s">
        <v>353</v>
      </c>
      <c r="E9" s="1" t="s">
        <v>106</v>
      </c>
      <c r="F9" s="12">
        <v>39</v>
      </c>
      <c r="G9" s="13"/>
      <c r="H9" s="11"/>
    </row>
    <row r="10" spans="1:8" ht="27.6" x14ac:dyDescent="0.3">
      <c r="A10">
        <v>1</v>
      </c>
      <c r="B10" s="1" t="s">
        <v>392</v>
      </c>
      <c r="C10" s="1" t="s">
        <v>697</v>
      </c>
      <c r="D10" s="2" t="s">
        <v>354</v>
      </c>
      <c r="E10" s="1" t="s">
        <v>21</v>
      </c>
      <c r="F10" s="12">
        <v>113</v>
      </c>
      <c r="G10" s="13"/>
      <c r="H10" s="11"/>
    </row>
    <row r="11" spans="1:8" ht="27.6" x14ac:dyDescent="0.3">
      <c r="A11">
        <v>1</v>
      </c>
      <c r="B11" s="1" t="s">
        <v>392</v>
      </c>
      <c r="C11" s="1" t="s">
        <v>697</v>
      </c>
      <c r="D11" s="2" t="s">
        <v>355</v>
      </c>
      <c r="E11" s="1" t="s">
        <v>21</v>
      </c>
      <c r="F11" s="12">
        <v>113</v>
      </c>
      <c r="G11" s="13"/>
      <c r="H11" s="11"/>
    </row>
    <row r="12" spans="1:8" ht="27.6" x14ac:dyDescent="0.3">
      <c r="A12">
        <v>1</v>
      </c>
      <c r="B12" s="1" t="s">
        <v>392</v>
      </c>
      <c r="C12" s="1" t="s">
        <v>697</v>
      </c>
      <c r="D12" s="2" t="s">
        <v>356</v>
      </c>
      <c r="E12" s="1" t="s">
        <v>21</v>
      </c>
      <c r="F12" s="12">
        <v>112.99999999999999</v>
      </c>
      <c r="G12" s="13">
        <v>17.000000000000004</v>
      </c>
      <c r="H12" s="11">
        <f>F12*G12</f>
        <v>1921.0000000000002</v>
      </c>
    </row>
    <row r="13" spans="1:8" ht="27.6" x14ac:dyDescent="0.3">
      <c r="A13">
        <v>1</v>
      </c>
      <c r="B13" s="1" t="s">
        <v>392</v>
      </c>
      <c r="C13" s="1" t="s">
        <v>697</v>
      </c>
      <c r="D13" s="2" t="s">
        <v>357</v>
      </c>
      <c r="E13" s="1" t="s">
        <v>106</v>
      </c>
      <c r="F13" s="12">
        <v>252</v>
      </c>
      <c r="G13" s="13">
        <v>123</v>
      </c>
      <c r="H13" s="11">
        <f>F13*G13</f>
        <v>30996</v>
      </c>
    </row>
    <row r="14" spans="1:8" ht="27.6" x14ac:dyDescent="0.3">
      <c r="A14">
        <v>1</v>
      </c>
      <c r="B14" s="1" t="s">
        <v>392</v>
      </c>
      <c r="C14" s="1" t="s">
        <v>697</v>
      </c>
      <c r="D14" s="2" t="s">
        <v>358</v>
      </c>
      <c r="E14" s="1" t="s">
        <v>106</v>
      </c>
      <c r="F14" s="12">
        <v>252</v>
      </c>
      <c r="G14" s="13">
        <v>33.199999999999996</v>
      </c>
      <c r="H14" s="11">
        <f>F14*G14</f>
        <v>8366.4</v>
      </c>
    </row>
  </sheetData>
  <autoFilter ref="A1:G14" xr:uid="{49C4E761-839B-4CF0-9D27-8F3A138FF82B}"/>
  <conditionalFormatting sqref="B2:G14">
    <cfRule type="expression" dxfId="46" priority="1">
      <formula>$I2&gt;0</formula>
    </cfRule>
  </conditionalFormatting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A579D-01F9-4D80-8221-F70715C02351}">
  <sheetPr codeName="Лист48">
    <tabColor rgb="FF00B050"/>
  </sheetPr>
  <dimension ref="A1:H6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x14ac:dyDescent="0.3">
      <c r="A2">
        <v>1</v>
      </c>
      <c r="B2" s="1" t="s">
        <v>305</v>
      </c>
      <c r="C2" s="1" t="s">
        <v>578</v>
      </c>
      <c r="D2" s="2" t="s">
        <v>299</v>
      </c>
      <c r="E2" s="1" t="s">
        <v>21</v>
      </c>
      <c r="F2" s="12">
        <v>6.3</v>
      </c>
      <c r="G2" s="13">
        <v>2.2200000000000002</v>
      </c>
      <c r="H2" s="11">
        <f>F2*G2</f>
        <v>13.986000000000001</v>
      </c>
    </row>
    <row r="3" spans="1:8" ht="27.6" x14ac:dyDescent="0.3">
      <c r="A3">
        <v>1</v>
      </c>
      <c r="B3" s="1" t="s">
        <v>305</v>
      </c>
      <c r="C3" s="1" t="s">
        <v>578</v>
      </c>
      <c r="D3" s="2" t="s">
        <v>300</v>
      </c>
      <c r="E3" s="1" t="s">
        <v>21</v>
      </c>
      <c r="F3" s="12">
        <v>6.72</v>
      </c>
      <c r="G3" s="13">
        <v>97.27000000000001</v>
      </c>
      <c r="H3" s="11">
        <f>F3*G3</f>
        <v>653.65440000000001</v>
      </c>
    </row>
    <row r="4" spans="1:8" ht="41.4" x14ac:dyDescent="0.3">
      <c r="A4">
        <v>1</v>
      </c>
      <c r="B4" s="1" t="s">
        <v>305</v>
      </c>
      <c r="C4" s="1" t="s">
        <v>578</v>
      </c>
      <c r="D4" s="2" t="s">
        <v>301</v>
      </c>
      <c r="E4" s="1" t="s">
        <v>21</v>
      </c>
      <c r="F4" s="12">
        <v>0.8</v>
      </c>
      <c r="G4" s="13">
        <v>15.72</v>
      </c>
      <c r="H4" s="11">
        <f>F4*G4</f>
        <v>12.576000000000001</v>
      </c>
    </row>
    <row r="5" spans="1:8" ht="27.6" x14ac:dyDescent="0.3">
      <c r="A5">
        <v>1</v>
      </c>
      <c r="B5" s="1" t="s">
        <v>305</v>
      </c>
      <c r="C5" s="1" t="s">
        <v>578</v>
      </c>
      <c r="D5" s="2" t="s">
        <v>302</v>
      </c>
      <c r="E5" s="1" t="s">
        <v>106</v>
      </c>
      <c r="F5" s="12">
        <v>15</v>
      </c>
      <c r="G5" s="13">
        <v>42.4</v>
      </c>
      <c r="H5" s="11">
        <f>F5*G5</f>
        <v>636</v>
      </c>
    </row>
    <row r="6" spans="1:8" x14ac:dyDescent="0.3">
      <c r="A6">
        <v>1</v>
      </c>
      <c r="B6" s="1" t="s">
        <v>305</v>
      </c>
      <c r="C6" s="1" t="s">
        <v>578</v>
      </c>
      <c r="D6" s="2" t="s">
        <v>303</v>
      </c>
      <c r="E6" s="1" t="s">
        <v>753</v>
      </c>
      <c r="F6" s="12">
        <v>32</v>
      </c>
      <c r="G6" s="13">
        <v>75</v>
      </c>
      <c r="H6" s="11">
        <f>F6*G6</f>
        <v>2400</v>
      </c>
    </row>
  </sheetData>
  <autoFilter ref="A1:G6" xr:uid="{49C4E761-839B-4CF0-9D27-8F3A138FF82B}"/>
  <conditionalFormatting sqref="B2:G6">
    <cfRule type="expression" dxfId="45" priority="1">
      <formula>$I2&gt;0</formula>
    </cfRule>
  </conditionalFormatting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520C5-89AE-446A-BB43-446D826578C0}">
  <sheetPr codeName="Лист49">
    <tabColor rgb="FF00B050"/>
  </sheetPr>
  <dimension ref="A1:H13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306</v>
      </c>
      <c r="C2" s="1" t="s">
        <v>566</v>
      </c>
      <c r="D2" s="2" t="s">
        <v>292</v>
      </c>
      <c r="E2" s="1" t="s">
        <v>21</v>
      </c>
      <c r="F2" s="12">
        <v>11</v>
      </c>
      <c r="G2" s="13"/>
      <c r="H2" s="11"/>
    </row>
    <row r="3" spans="1:8" ht="27.6" x14ac:dyDescent="0.3">
      <c r="A3">
        <v>2</v>
      </c>
      <c r="B3" s="1" t="s">
        <v>306</v>
      </c>
      <c r="C3" s="1" t="s">
        <v>566</v>
      </c>
      <c r="D3" s="2" t="s">
        <v>293</v>
      </c>
      <c r="E3" s="1" t="s">
        <v>21</v>
      </c>
      <c r="F3" s="12">
        <v>1</v>
      </c>
      <c r="G3" s="13">
        <v>615</v>
      </c>
      <c r="H3" s="11">
        <f>F3*G3</f>
        <v>615</v>
      </c>
    </row>
    <row r="4" spans="1:8" ht="41.4" x14ac:dyDescent="0.3">
      <c r="A4">
        <v>2</v>
      </c>
      <c r="B4" s="1" t="s">
        <v>306</v>
      </c>
      <c r="C4" s="1" t="s">
        <v>566</v>
      </c>
      <c r="D4" s="2" t="s">
        <v>294</v>
      </c>
      <c r="E4" s="1" t="s">
        <v>21</v>
      </c>
      <c r="F4" s="12">
        <v>2</v>
      </c>
      <c r="G4" s="13"/>
      <c r="H4" s="11"/>
    </row>
    <row r="5" spans="1:8" ht="27.6" x14ac:dyDescent="0.3">
      <c r="A5">
        <v>1</v>
      </c>
      <c r="B5" s="1" t="s">
        <v>306</v>
      </c>
      <c r="C5" s="1" t="s">
        <v>552</v>
      </c>
      <c r="D5" s="2" t="s">
        <v>295</v>
      </c>
      <c r="E5" s="1" t="s">
        <v>21</v>
      </c>
      <c r="F5" s="12">
        <v>8</v>
      </c>
      <c r="G5" s="13"/>
      <c r="H5" s="11"/>
    </row>
    <row r="6" spans="1:8" ht="27.6" x14ac:dyDescent="0.3">
      <c r="A6">
        <v>1</v>
      </c>
      <c r="B6" s="1" t="s">
        <v>306</v>
      </c>
      <c r="C6" s="1" t="s">
        <v>552</v>
      </c>
      <c r="D6" s="2" t="s">
        <v>296</v>
      </c>
      <c r="E6" s="1" t="s">
        <v>21</v>
      </c>
      <c r="F6" s="12">
        <v>8</v>
      </c>
      <c r="G6" s="13"/>
      <c r="H6" s="11"/>
    </row>
    <row r="7" spans="1:8" x14ac:dyDescent="0.3">
      <c r="A7">
        <v>1</v>
      </c>
      <c r="B7" s="1" t="s">
        <v>306</v>
      </c>
      <c r="C7" s="1" t="s">
        <v>552</v>
      </c>
      <c r="D7" s="2" t="s">
        <v>297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ht="27.6" x14ac:dyDescent="0.3">
      <c r="A8">
        <v>1</v>
      </c>
      <c r="B8" s="1" t="s">
        <v>306</v>
      </c>
      <c r="C8" s="1" t="s">
        <v>552</v>
      </c>
      <c r="D8" s="2" t="s">
        <v>298</v>
      </c>
      <c r="E8" s="1" t="s">
        <v>21</v>
      </c>
      <c r="F8" s="12">
        <v>8</v>
      </c>
      <c r="G8" s="13">
        <v>17</v>
      </c>
      <c r="H8" s="11">
        <f>F8*G8</f>
        <v>136</v>
      </c>
    </row>
    <row r="9" spans="1:8" x14ac:dyDescent="0.3">
      <c r="A9">
        <v>3</v>
      </c>
      <c r="B9" s="1" t="s">
        <v>306</v>
      </c>
      <c r="C9" s="1" t="s">
        <v>579</v>
      </c>
      <c r="D9" s="2" t="s">
        <v>299</v>
      </c>
      <c r="E9" s="1" t="s">
        <v>21</v>
      </c>
      <c r="F9" s="12">
        <v>6.3</v>
      </c>
      <c r="G9" s="13">
        <v>2.2200000000000002</v>
      </c>
      <c r="H9" s="11">
        <f>F9*G9</f>
        <v>13.986000000000001</v>
      </c>
    </row>
    <row r="10" spans="1:8" ht="27.6" x14ac:dyDescent="0.3">
      <c r="A10">
        <v>3</v>
      </c>
      <c r="B10" s="1" t="s">
        <v>306</v>
      </c>
      <c r="C10" s="1" t="s">
        <v>579</v>
      </c>
      <c r="D10" s="2" t="s">
        <v>300</v>
      </c>
      <c r="E10" s="1" t="s">
        <v>21</v>
      </c>
      <c r="F10" s="12">
        <v>6.72</v>
      </c>
      <c r="G10" s="13">
        <v>97.27000000000001</v>
      </c>
      <c r="H10" s="11">
        <f>F10*G10</f>
        <v>653.65440000000001</v>
      </c>
    </row>
    <row r="11" spans="1:8" ht="41.4" x14ac:dyDescent="0.3">
      <c r="A11">
        <v>3</v>
      </c>
      <c r="B11" s="1" t="s">
        <v>306</v>
      </c>
      <c r="C11" s="1" t="s">
        <v>579</v>
      </c>
      <c r="D11" s="2" t="s">
        <v>301</v>
      </c>
      <c r="E11" s="1" t="s">
        <v>21</v>
      </c>
      <c r="F11" s="12">
        <v>0.8</v>
      </c>
      <c r="G11" s="13">
        <v>15.72</v>
      </c>
      <c r="H11" s="11">
        <f>F11*G11</f>
        <v>12.576000000000001</v>
      </c>
    </row>
    <row r="12" spans="1:8" ht="27.6" x14ac:dyDescent="0.3">
      <c r="A12">
        <v>3</v>
      </c>
      <c r="B12" s="1" t="s">
        <v>306</v>
      </c>
      <c r="C12" s="1" t="s">
        <v>579</v>
      </c>
      <c r="D12" s="2" t="s">
        <v>302</v>
      </c>
      <c r="E12" s="1" t="s">
        <v>106</v>
      </c>
      <c r="F12" s="12">
        <v>15</v>
      </c>
      <c r="G12" s="13">
        <v>42.4</v>
      </c>
      <c r="H12" s="11">
        <f>F12*G12</f>
        <v>636</v>
      </c>
    </row>
    <row r="13" spans="1:8" x14ac:dyDescent="0.3">
      <c r="A13">
        <v>3</v>
      </c>
      <c r="B13" s="1" t="s">
        <v>306</v>
      </c>
      <c r="C13" s="1" t="s">
        <v>579</v>
      </c>
      <c r="D13" s="2" t="s">
        <v>303</v>
      </c>
      <c r="E13" s="1" t="s">
        <v>753</v>
      </c>
      <c r="F13" s="12">
        <v>32</v>
      </c>
      <c r="G13" s="13">
        <v>75</v>
      </c>
      <c r="H13" s="11">
        <f>F13*G13</f>
        <v>2400</v>
      </c>
    </row>
  </sheetData>
  <autoFilter ref="A1:G13" xr:uid="{49C4E761-839B-4CF0-9D27-8F3A138FF82B}"/>
  <conditionalFormatting sqref="B2:G13">
    <cfRule type="expression" dxfId="44" priority="1">
      <formula>$I2&gt;0</formula>
    </cfRule>
  </conditionalFormatting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360D-4A63-475C-8ABF-4FAB8C41799B}">
  <sheetPr codeName="Лист50">
    <tabColor rgb="FF00B050"/>
  </sheetPr>
  <dimension ref="A1:H13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307</v>
      </c>
      <c r="C2" s="1" t="s">
        <v>567</v>
      </c>
      <c r="D2" s="2" t="s">
        <v>292</v>
      </c>
      <c r="E2" s="1" t="s">
        <v>21</v>
      </c>
      <c r="F2" s="12">
        <v>11</v>
      </c>
      <c r="G2" s="13"/>
      <c r="H2" s="11"/>
    </row>
    <row r="3" spans="1:8" ht="27.6" x14ac:dyDescent="0.3">
      <c r="A3">
        <v>2</v>
      </c>
      <c r="B3" s="1" t="s">
        <v>307</v>
      </c>
      <c r="C3" s="1" t="s">
        <v>567</v>
      </c>
      <c r="D3" s="2" t="s">
        <v>293</v>
      </c>
      <c r="E3" s="1" t="s">
        <v>21</v>
      </c>
      <c r="F3" s="12">
        <v>1</v>
      </c>
      <c r="G3" s="13">
        <v>615</v>
      </c>
      <c r="H3" s="11">
        <f>F3*G3</f>
        <v>615</v>
      </c>
    </row>
    <row r="4" spans="1:8" ht="41.4" x14ac:dyDescent="0.3">
      <c r="A4">
        <v>2</v>
      </c>
      <c r="B4" s="1" t="s">
        <v>307</v>
      </c>
      <c r="C4" s="1" t="s">
        <v>567</v>
      </c>
      <c r="D4" s="2" t="s">
        <v>294</v>
      </c>
      <c r="E4" s="1" t="s">
        <v>21</v>
      </c>
      <c r="F4" s="12">
        <v>2</v>
      </c>
      <c r="G4" s="13"/>
      <c r="H4" s="11"/>
    </row>
    <row r="5" spans="1:8" ht="27.6" x14ac:dyDescent="0.3">
      <c r="A5">
        <v>1</v>
      </c>
      <c r="B5" s="1" t="s">
        <v>307</v>
      </c>
      <c r="C5" s="1" t="s">
        <v>553</v>
      </c>
      <c r="D5" s="2" t="s">
        <v>295</v>
      </c>
      <c r="E5" s="1" t="s">
        <v>21</v>
      </c>
      <c r="F5" s="12">
        <v>8</v>
      </c>
      <c r="G5" s="13"/>
      <c r="H5" s="11"/>
    </row>
    <row r="6" spans="1:8" ht="27.6" x14ac:dyDescent="0.3">
      <c r="A6">
        <v>1</v>
      </c>
      <c r="B6" s="1" t="s">
        <v>307</v>
      </c>
      <c r="C6" s="1" t="s">
        <v>553</v>
      </c>
      <c r="D6" s="2" t="s">
        <v>296</v>
      </c>
      <c r="E6" s="1" t="s">
        <v>21</v>
      </c>
      <c r="F6" s="12">
        <v>8</v>
      </c>
      <c r="G6" s="13"/>
      <c r="H6" s="11"/>
    </row>
    <row r="7" spans="1:8" x14ac:dyDescent="0.3">
      <c r="A7">
        <v>1</v>
      </c>
      <c r="B7" s="1" t="s">
        <v>307</v>
      </c>
      <c r="C7" s="1" t="s">
        <v>553</v>
      </c>
      <c r="D7" s="2" t="s">
        <v>297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ht="27.6" x14ac:dyDescent="0.3">
      <c r="A8">
        <v>1</v>
      </c>
      <c r="B8" s="1" t="s">
        <v>307</v>
      </c>
      <c r="C8" s="1" t="s">
        <v>553</v>
      </c>
      <c r="D8" s="2" t="s">
        <v>298</v>
      </c>
      <c r="E8" s="1" t="s">
        <v>21</v>
      </c>
      <c r="F8" s="12">
        <v>8</v>
      </c>
      <c r="G8" s="13">
        <v>17</v>
      </c>
      <c r="H8" s="11">
        <f>F8*G8</f>
        <v>136</v>
      </c>
    </row>
    <row r="9" spans="1:8" x14ac:dyDescent="0.3">
      <c r="A9">
        <v>3</v>
      </c>
      <c r="B9" s="1" t="s">
        <v>307</v>
      </c>
      <c r="C9" s="1" t="s">
        <v>580</v>
      </c>
      <c r="D9" s="2" t="s">
        <v>299</v>
      </c>
      <c r="E9" s="1" t="s">
        <v>21</v>
      </c>
      <c r="F9" s="12">
        <v>6.3</v>
      </c>
      <c r="G9" s="13">
        <v>2.2200000000000002</v>
      </c>
      <c r="H9" s="11">
        <f>F9*G9</f>
        <v>13.986000000000001</v>
      </c>
    </row>
    <row r="10" spans="1:8" ht="27.6" x14ac:dyDescent="0.3">
      <c r="A10">
        <v>3</v>
      </c>
      <c r="B10" s="1" t="s">
        <v>307</v>
      </c>
      <c r="C10" s="1" t="s">
        <v>580</v>
      </c>
      <c r="D10" s="2" t="s">
        <v>300</v>
      </c>
      <c r="E10" s="1" t="s">
        <v>21</v>
      </c>
      <c r="F10" s="12">
        <v>6.72</v>
      </c>
      <c r="G10" s="13">
        <v>97.27000000000001</v>
      </c>
      <c r="H10" s="11">
        <f>F10*G10</f>
        <v>653.65440000000001</v>
      </c>
    </row>
    <row r="11" spans="1:8" ht="41.4" x14ac:dyDescent="0.3">
      <c r="A11">
        <v>3</v>
      </c>
      <c r="B11" s="1" t="s">
        <v>307</v>
      </c>
      <c r="C11" s="1" t="s">
        <v>580</v>
      </c>
      <c r="D11" s="2" t="s">
        <v>301</v>
      </c>
      <c r="E11" s="1" t="s">
        <v>21</v>
      </c>
      <c r="F11" s="12">
        <v>0.8</v>
      </c>
      <c r="G11" s="13">
        <v>15.72</v>
      </c>
      <c r="H11" s="11">
        <f>F11*G11</f>
        <v>12.576000000000001</v>
      </c>
    </row>
    <row r="12" spans="1:8" ht="27.6" x14ac:dyDescent="0.3">
      <c r="A12">
        <v>3</v>
      </c>
      <c r="B12" s="1" t="s">
        <v>307</v>
      </c>
      <c r="C12" s="1" t="s">
        <v>580</v>
      </c>
      <c r="D12" s="2" t="s">
        <v>302</v>
      </c>
      <c r="E12" s="1" t="s">
        <v>106</v>
      </c>
      <c r="F12" s="12">
        <v>15</v>
      </c>
      <c r="G12" s="13">
        <v>42.4</v>
      </c>
      <c r="H12" s="11">
        <f>F12*G12</f>
        <v>636</v>
      </c>
    </row>
    <row r="13" spans="1:8" x14ac:dyDescent="0.3">
      <c r="A13">
        <v>3</v>
      </c>
      <c r="B13" s="1" t="s">
        <v>307</v>
      </c>
      <c r="C13" s="1" t="s">
        <v>580</v>
      </c>
      <c r="D13" s="2" t="s">
        <v>303</v>
      </c>
      <c r="E13" s="1" t="s">
        <v>753</v>
      </c>
      <c r="F13" s="12">
        <v>32</v>
      </c>
      <c r="G13" s="13">
        <v>75</v>
      </c>
      <c r="H13" s="11">
        <f>F13*G13</f>
        <v>2400</v>
      </c>
    </row>
  </sheetData>
  <autoFilter ref="A1:G13" xr:uid="{49C4E761-839B-4CF0-9D27-8F3A138FF82B}"/>
  <conditionalFormatting sqref="B2:G13">
    <cfRule type="expression" dxfId="43" priority="1">
      <formula>$I2&gt;0</formula>
    </cfRule>
  </conditionalFormatting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FF458-4F6F-40EF-BB16-C8BF574A9D4D}">
  <sheetPr codeName="Лист51">
    <tabColor rgb="FF00B050"/>
  </sheetPr>
  <dimension ref="A1:H13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308</v>
      </c>
      <c r="C2" s="1" t="s">
        <v>568</v>
      </c>
      <c r="D2" s="2" t="s">
        <v>292</v>
      </c>
      <c r="E2" s="1" t="s">
        <v>21</v>
      </c>
      <c r="F2" s="12">
        <v>14</v>
      </c>
      <c r="G2" s="13"/>
      <c r="H2" s="11"/>
    </row>
    <row r="3" spans="1:8" ht="27.6" x14ac:dyDescent="0.3">
      <c r="A3">
        <v>2</v>
      </c>
      <c r="B3" s="1" t="s">
        <v>308</v>
      </c>
      <c r="C3" s="1" t="s">
        <v>568</v>
      </c>
      <c r="D3" s="2" t="s">
        <v>293</v>
      </c>
      <c r="E3" s="1" t="s">
        <v>21</v>
      </c>
      <c r="F3" s="12">
        <v>1</v>
      </c>
      <c r="G3" s="13">
        <v>615</v>
      </c>
      <c r="H3" s="11">
        <f>F3*G3</f>
        <v>615</v>
      </c>
    </row>
    <row r="4" spans="1:8" ht="41.4" x14ac:dyDescent="0.3">
      <c r="A4">
        <v>2</v>
      </c>
      <c r="B4" s="1" t="s">
        <v>308</v>
      </c>
      <c r="C4" s="1" t="s">
        <v>568</v>
      </c>
      <c r="D4" s="2" t="s">
        <v>294</v>
      </c>
      <c r="E4" s="1" t="s">
        <v>21</v>
      </c>
      <c r="F4" s="12">
        <v>2</v>
      </c>
      <c r="G4" s="13"/>
      <c r="H4" s="11"/>
    </row>
    <row r="5" spans="1:8" ht="27.6" x14ac:dyDescent="0.3">
      <c r="A5">
        <v>1</v>
      </c>
      <c r="B5" s="1" t="s">
        <v>308</v>
      </c>
      <c r="C5" s="1" t="s">
        <v>554</v>
      </c>
      <c r="D5" s="2" t="s">
        <v>295</v>
      </c>
      <c r="E5" s="1" t="s">
        <v>21</v>
      </c>
      <c r="F5" s="12">
        <v>11</v>
      </c>
      <c r="G5" s="13"/>
      <c r="H5" s="11"/>
    </row>
    <row r="6" spans="1:8" ht="27.6" x14ac:dyDescent="0.3">
      <c r="A6">
        <v>1</v>
      </c>
      <c r="B6" s="1" t="s">
        <v>308</v>
      </c>
      <c r="C6" s="1" t="s">
        <v>554</v>
      </c>
      <c r="D6" s="2" t="s">
        <v>296</v>
      </c>
      <c r="E6" s="1" t="s">
        <v>21</v>
      </c>
      <c r="F6" s="12">
        <v>11</v>
      </c>
      <c r="G6" s="13"/>
      <c r="H6" s="11"/>
    </row>
    <row r="7" spans="1:8" x14ac:dyDescent="0.3">
      <c r="A7">
        <v>1</v>
      </c>
      <c r="B7" s="1" t="s">
        <v>308</v>
      </c>
      <c r="C7" s="1" t="s">
        <v>554</v>
      </c>
      <c r="D7" s="2" t="s">
        <v>297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ht="27.6" x14ac:dyDescent="0.3">
      <c r="A8">
        <v>1</v>
      </c>
      <c r="B8" s="1" t="s">
        <v>308</v>
      </c>
      <c r="C8" s="1" t="s">
        <v>554</v>
      </c>
      <c r="D8" s="2" t="s">
        <v>298</v>
      </c>
      <c r="E8" s="1" t="s">
        <v>21</v>
      </c>
      <c r="F8" s="12">
        <v>11</v>
      </c>
      <c r="G8" s="13">
        <v>17</v>
      </c>
      <c r="H8" s="11">
        <f>F8*G8</f>
        <v>187</v>
      </c>
    </row>
    <row r="9" spans="1:8" x14ac:dyDescent="0.3">
      <c r="A9">
        <v>3</v>
      </c>
      <c r="B9" s="1" t="s">
        <v>308</v>
      </c>
      <c r="C9" s="1" t="s">
        <v>581</v>
      </c>
      <c r="D9" s="2" t="s">
        <v>299</v>
      </c>
      <c r="E9" s="1" t="s">
        <v>21</v>
      </c>
      <c r="F9" s="12">
        <v>6.3</v>
      </c>
      <c r="G9" s="13">
        <v>2.2200000000000002</v>
      </c>
      <c r="H9" s="11">
        <f>F9*G9</f>
        <v>13.986000000000001</v>
      </c>
    </row>
    <row r="10" spans="1:8" ht="27.6" x14ac:dyDescent="0.3">
      <c r="A10">
        <v>3</v>
      </c>
      <c r="B10" s="1" t="s">
        <v>308</v>
      </c>
      <c r="C10" s="1" t="s">
        <v>581</v>
      </c>
      <c r="D10" s="2" t="s">
        <v>300</v>
      </c>
      <c r="E10" s="1" t="s">
        <v>21</v>
      </c>
      <c r="F10" s="12">
        <v>6.72</v>
      </c>
      <c r="G10" s="13">
        <v>97.27000000000001</v>
      </c>
      <c r="H10" s="11">
        <f>F10*G10</f>
        <v>653.65440000000001</v>
      </c>
    </row>
    <row r="11" spans="1:8" ht="41.4" x14ac:dyDescent="0.3">
      <c r="A11">
        <v>3</v>
      </c>
      <c r="B11" s="1" t="s">
        <v>308</v>
      </c>
      <c r="C11" s="1" t="s">
        <v>581</v>
      </c>
      <c r="D11" s="2" t="s">
        <v>301</v>
      </c>
      <c r="E11" s="1" t="s">
        <v>21</v>
      </c>
      <c r="F11" s="12">
        <v>0.8</v>
      </c>
      <c r="G11" s="13">
        <v>15.72</v>
      </c>
      <c r="H11" s="11">
        <f>F11*G11</f>
        <v>12.576000000000001</v>
      </c>
    </row>
    <row r="12" spans="1:8" ht="27.6" x14ac:dyDescent="0.3">
      <c r="A12">
        <v>3</v>
      </c>
      <c r="B12" s="1" t="s">
        <v>308</v>
      </c>
      <c r="C12" s="1" t="s">
        <v>581</v>
      </c>
      <c r="D12" s="2" t="s">
        <v>302</v>
      </c>
      <c r="E12" s="1" t="s">
        <v>106</v>
      </c>
      <c r="F12" s="12">
        <v>15</v>
      </c>
      <c r="G12" s="13">
        <v>42.4</v>
      </c>
      <c r="H12" s="11">
        <f>F12*G12</f>
        <v>636</v>
      </c>
    </row>
    <row r="13" spans="1:8" x14ac:dyDescent="0.3">
      <c r="A13">
        <v>3</v>
      </c>
      <c r="B13" s="1" t="s">
        <v>308</v>
      </c>
      <c r="C13" s="1" t="s">
        <v>581</v>
      </c>
      <c r="D13" s="2" t="s">
        <v>303</v>
      </c>
      <c r="E13" s="1" t="s">
        <v>753</v>
      </c>
      <c r="F13" s="12">
        <v>32</v>
      </c>
      <c r="G13" s="13">
        <v>75</v>
      </c>
      <c r="H13" s="11">
        <f>F13*G13</f>
        <v>2400</v>
      </c>
    </row>
  </sheetData>
  <autoFilter ref="A1:G13" xr:uid="{49C4E761-839B-4CF0-9D27-8F3A138FF82B}"/>
  <conditionalFormatting sqref="B2:G13">
    <cfRule type="expression" dxfId="42" priority="1">
      <formula>$I2&gt;0</formula>
    </cfRule>
  </conditionalFormatting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920FB-3FE3-4AD2-9A50-D41C2E96C201}">
  <sheetPr codeName="Лист52">
    <tabColor rgb="FF00B050"/>
  </sheetPr>
  <dimension ref="A1:H13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3</v>
      </c>
      <c r="B2" s="1" t="s">
        <v>309</v>
      </c>
      <c r="C2" s="1" t="s">
        <v>569</v>
      </c>
      <c r="D2" s="2" t="s">
        <v>292</v>
      </c>
      <c r="E2" s="1" t="s">
        <v>21</v>
      </c>
      <c r="F2" s="12">
        <v>9</v>
      </c>
      <c r="G2" s="13"/>
      <c r="H2" s="11"/>
    </row>
    <row r="3" spans="1:8" ht="27.6" x14ac:dyDescent="0.3">
      <c r="A3">
        <v>3</v>
      </c>
      <c r="B3" s="1" t="s">
        <v>309</v>
      </c>
      <c r="C3" s="1" t="s">
        <v>569</v>
      </c>
      <c r="D3" s="2" t="s">
        <v>293</v>
      </c>
      <c r="E3" s="1" t="s">
        <v>21</v>
      </c>
      <c r="F3" s="12">
        <v>1</v>
      </c>
      <c r="G3" s="13">
        <v>615</v>
      </c>
      <c r="H3" s="11">
        <f>F3*G3</f>
        <v>615</v>
      </c>
    </row>
    <row r="4" spans="1:8" ht="41.4" x14ac:dyDescent="0.3">
      <c r="A4">
        <v>3</v>
      </c>
      <c r="B4" s="1" t="s">
        <v>309</v>
      </c>
      <c r="C4" s="1" t="s">
        <v>569</v>
      </c>
      <c r="D4" s="2" t="s">
        <v>294</v>
      </c>
      <c r="E4" s="1" t="s">
        <v>21</v>
      </c>
      <c r="F4" s="12">
        <v>2</v>
      </c>
      <c r="G4" s="13"/>
      <c r="H4" s="11"/>
    </row>
    <row r="5" spans="1:8" ht="27.6" x14ac:dyDescent="0.3">
      <c r="A5">
        <v>2</v>
      </c>
      <c r="B5" s="1" t="s">
        <v>309</v>
      </c>
      <c r="C5" s="1" t="s">
        <v>555</v>
      </c>
      <c r="D5" s="2" t="s">
        <v>295</v>
      </c>
      <c r="E5" s="1" t="s">
        <v>21</v>
      </c>
      <c r="F5" s="12">
        <v>6</v>
      </c>
      <c r="G5" s="13"/>
      <c r="H5" s="11"/>
    </row>
    <row r="6" spans="1:8" ht="27.6" x14ac:dyDescent="0.3">
      <c r="A6">
        <v>2</v>
      </c>
      <c r="B6" s="1" t="s">
        <v>309</v>
      </c>
      <c r="C6" s="1" t="s">
        <v>555</v>
      </c>
      <c r="D6" s="2" t="s">
        <v>296</v>
      </c>
      <c r="E6" s="1" t="s">
        <v>21</v>
      </c>
      <c r="F6" s="12">
        <v>6</v>
      </c>
      <c r="G6" s="13"/>
      <c r="H6" s="11"/>
    </row>
    <row r="7" spans="1:8" x14ac:dyDescent="0.3">
      <c r="A7">
        <v>2</v>
      </c>
      <c r="B7" s="1" t="s">
        <v>309</v>
      </c>
      <c r="C7" s="1" t="s">
        <v>555</v>
      </c>
      <c r="D7" s="2" t="s">
        <v>297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ht="27.6" x14ac:dyDescent="0.3">
      <c r="A8">
        <v>2</v>
      </c>
      <c r="B8" s="1" t="s">
        <v>309</v>
      </c>
      <c r="C8" s="1" t="s">
        <v>555</v>
      </c>
      <c r="D8" s="2" t="s">
        <v>298</v>
      </c>
      <c r="E8" s="1" t="s">
        <v>21</v>
      </c>
      <c r="F8" s="12">
        <v>6</v>
      </c>
      <c r="G8" s="13">
        <v>17</v>
      </c>
      <c r="H8" s="11">
        <f>F8*G8</f>
        <v>102</v>
      </c>
    </row>
    <row r="9" spans="1:8" x14ac:dyDescent="0.3">
      <c r="A9">
        <v>1</v>
      </c>
      <c r="B9" s="1" t="s">
        <v>309</v>
      </c>
      <c r="C9" s="1" t="s">
        <v>550</v>
      </c>
      <c r="D9" s="2" t="s">
        <v>299</v>
      </c>
      <c r="E9" s="1" t="s">
        <v>21</v>
      </c>
      <c r="F9" s="12">
        <v>6.3</v>
      </c>
      <c r="G9" s="13">
        <v>2.2200000000000002</v>
      </c>
      <c r="H9" s="11">
        <f>F9*G9</f>
        <v>13.986000000000001</v>
      </c>
    </row>
    <row r="10" spans="1:8" ht="27.6" x14ac:dyDescent="0.3">
      <c r="A10">
        <v>1</v>
      </c>
      <c r="B10" s="1" t="s">
        <v>309</v>
      </c>
      <c r="C10" s="1" t="s">
        <v>550</v>
      </c>
      <c r="D10" s="2" t="s">
        <v>300</v>
      </c>
      <c r="E10" s="1" t="s">
        <v>21</v>
      </c>
      <c r="F10" s="12">
        <v>6.72</v>
      </c>
      <c r="G10" s="13">
        <v>97.27000000000001</v>
      </c>
      <c r="H10" s="11">
        <f>F10*G10</f>
        <v>653.65440000000001</v>
      </c>
    </row>
    <row r="11" spans="1:8" ht="41.4" x14ac:dyDescent="0.3">
      <c r="A11">
        <v>1</v>
      </c>
      <c r="B11" s="1" t="s">
        <v>309</v>
      </c>
      <c r="C11" s="1" t="s">
        <v>550</v>
      </c>
      <c r="D11" s="2" t="s">
        <v>301</v>
      </c>
      <c r="E11" s="1" t="s">
        <v>21</v>
      </c>
      <c r="F11" s="12">
        <v>0.8</v>
      </c>
      <c r="G11" s="13">
        <v>15.72</v>
      </c>
      <c r="H11" s="11">
        <f>F11*G11</f>
        <v>12.576000000000001</v>
      </c>
    </row>
    <row r="12" spans="1:8" ht="27.6" x14ac:dyDescent="0.3">
      <c r="A12">
        <v>1</v>
      </c>
      <c r="B12" s="1" t="s">
        <v>309</v>
      </c>
      <c r="C12" s="1" t="s">
        <v>550</v>
      </c>
      <c r="D12" s="2" t="s">
        <v>302</v>
      </c>
      <c r="E12" s="1" t="s">
        <v>106</v>
      </c>
      <c r="F12" s="12">
        <v>15</v>
      </c>
      <c r="G12" s="13">
        <v>42.4</v>
      </c>
      <c r="H12" s="11">
        <f>F12*G12</f>
        <v>636</v>
      </c>
    </row>
    <row r="13" spans="1:8" x14ac:dyDescent="0.3">
      <c r="A13">
        <v>1</v>
      </c>
      <c r="B13" s="1" t="s">
        <v>309</v>
      </c>
      <c r="C13" s="1" t="s">
        <v>550</v>
      </c>
      <c r="D13" s="2" t="s">
        <v>303</v>
      </c>
      <c r="E13" s="1" t="s">
        <v>753</v>
      </c>
      <c r="F13" s="12">
        <v>32</v>
      </c>
      <c r="G13" s="13">
        <v>75</v>
      </c>
      <c r="H13" s="11">
        <f>F13*G13</f>
        <v>2400</v>
      </c>
    </row>
  </sheetData>
  <autoFilter ref="A1:G13" xr:uid="{49C4E761-839B-4CF0-9D27-8F3A138FF82B}"/>
  <conditionalFormatting sqref="B2:G13">
    <cfRule type="expression" dxfId="41" priority="1">
      <formula>$I2&gt;0</formula>
    </cfRule>
  </conditionalFormatting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DAECA-D619-45A2-9CF4-2548BAF58873}">
  <sheetPr codeName="Лист53">
    <tabColor rgb="FF00B050"/>
  </sheetPr>
  <dimension ref="A1:H20"/>
  <sheetViews>
    <sheetView topLeftCell="A16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3</v>
      </c>
      <c r="B2" s="1" t="s">
        <v>310</v>
      </c>
      <c r="C2" s="1" t="s">
        <v>570</v>
      </c>
      <c r="D2" s="2" t="s">
        <v>292</v>
      </c>
      <c r="E2" s="1" t="s">
        <v>21</v>
      </c>
      <c r="F2" s="12">
        <v>12</v>
      </c>
      <c r="G2" s="13"/>
      <c r="H2" s="11"/>
    </row>
    <row r="3" spans="1:8" ht="27.6" x14ac:dyDescent="0.3">
      <c r="A3">
        <v>3</v>
      </c>
      <c r="B3" s="1" t="s">
        <v>310</v>
      </c>
      <c r="C3" s="1" t="s">
        <v>570</v>
      </c>
      <c r="D3" s="2" t="s">
        <v>293</v>
      </c>
      <c r="E3" s="1" t="s">
        <v>21</v>
      </c>
      <c r="F3" s="12">
        <v>1</v>
      </c>
      <c r="G3" s="13">
        <v>615</v>
      </c>
      <c r="H3" s="11">
        <f>F3*G3</f>
        <v>615</v>
      </c>
    </row>
    <row r="4" spans="1:8" ht="41.4" x14ac:dyDescent="0.3">
      <c r="A4">
        <v>3</v>
      </c>
      <c r="B4" s="1" t="s">
        <v>310</v>
      </c>
      <c r="C4" s="1" t="s">
        <v>570</v>
      </c>
      <c r="D4" s="2" t="s">
        <v>294</v>
      </c>
      <c r="E4" s="1" t="s">
        <v>21</v>
      </c>
      <c r="F4" s="12">
        <v>2</v>
      </c>
      <c r="G4" s="13"/>
      <c r="H4" s="11"/>
    </row>
    <row r="5" spans="1:8" ht="27.6" x14ac:dyDescent="0.3">
      <c r="A5">
        <v>1</v>
      </c>
      <c r="B5" s="1" t="s">
        <v>310</v>
      </c>
      <c r="C5" s="1" t="s">
        <v>556</v>
      </c>
      <c r="D5" s="2" t="s">
        <v>295</v>
      </c>
      <c r="E5" s="1" t="s">
        <v>21</v>
      </c>
      <c r="F5" s="12">
        <v>9</v>
      </c>
      <c r="G5" s="13"/>
      <c r="H5" s="11"/>
    </row>
    <row r="6" spans="1:8" ht="27.6" x14ac:dyDescent="0.3">
      <c r="A6">
        <v>1</v>
      </c>
      <c r="B6" s="1" t="s">
        <v>310</v>
      </c>
      <c r="C6" s="1" t="s">
        <v>556</v>
      </c>
      <c r="D6" s="2" t="s">
        <v>296</v>
      </c>
      <c r="E6" s="1" t="s">
        <v>21</v>
      </c>
      <c r="F6" s="12">
        <v>9</v>
      </c>
      <c r="G6" s="13"/>
      <c r="H6" s="11"/>
    </row>
    <row r="7" spans="1:8" x14ac:dyDescent="0.3">
      <c r="A7">
        <v>1</v>
      </c>
      <c r="B7" s="1" t="s">
        <v>310</v>
      </c>
      <c r="C7" s="1" t="s">
        <v>556</v>
      </c>
      <c r="D7" s="2" t="s">
        <v>297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ht="27.6" x14ac:dyDescent="0.3">
      <c r="A8">
        <v>1</v>
      </c>
      <c r="B8" s="1" t="s">
        <v>310</v>
      </c>
      <c r="C8" s="1" t="s">
        <v>556</v>
      </c>
      <c r="D8" s="2" t="s">
        <v>298</v>
      </c>
      <c r="E8" s="1" t="s">
        <v>21</v>
      </c>
      <c r="F8" s="12">
        <v>9</v>
      </c>
      <c r="G8" s="13">
        <v>17</v>
      </c>
      <c r="H8" s="11">
        <f>F8*G8</f>
        <v>153</v>
      </c>
    </row>
    <row r="9" spans="1:8" ht="27.6" x14ac:dyDescent="0.3">
      <c r="A9">
        <v>4</v>
      </c>
      <c r="B9" s="1" t="s">
        <v>311</v>
      </c>
      <c r="C9" s="1" t="s">
        <v>576</v>
      </c>
      <c r="D9" s="2" t="s">
        <v>292</v>
      </c>
      <c r="E9" s="1" t="s">
        <v>21</v>
      </c>
      <c r="F9" s="12">
        <v>16</v>
      </c>
      <c r="G9" s="13"/>
      <c r="H9" s="11"/>
    </row>
    <row r="10" spans="1:8" ht="27.6" x14ac:dyDescent="0.3">
      <c r="A10">
        <v>4</v>
      </c>
      <c r="B10" s="1" t="s">
        <v>311</v>
      </c>
      <c r="C10" s="1" t="s">
        <v>576</v>
      </c>
      <c r="D10" s="2" t="s">
        <v>293</v>
      </c>
      <c r="E10" s="1" t="s">
        <v>21</v>
      </c>
      <c r="F10" s="12">
        <v>1</v>
      </c>
      <c r="G10" s="13">
        <v>615</v>
      </c>
      <c r="H10" s="11">
        <f>F10*G10</f>
        <v>615</v>
      </c>
    </row>
    <row r="11" spans="1:8" ht="41.4" x14ac:dyDescent="0.3">
      <c r="A11">
        <v>4</v>
      </c>
      <c r="B11" s="1" t="s">
        <v>311</v>
      </c>
      <c r="C11" s="1" t="s">
        <v>576</v>
      </c>
      <c r="D11" s="2" t="s">
        <v>294</v>
      </c>
      <c r="E11" s="1" t="s">
        <v>21</v>
      </c>
      <c r="F11" s="12">
        <v>2</v>
      </c>
      <c r="G11" s="13"/>
      <c r="H11" s="11"/>
    </row>
    <row r="12" spans="1:8" ht="27.6" x14ac:dyDescent="0.3">
      <c r="A12">
        <v>2</v>
      </c>
      <c r="B12" s="1" t="s">
        <v>311</v>
      </c>
      <c r="C12" s="1" t="s">
        <v>564</v>
      </c>
      <c r="D12" s="2" t="s">
        <v>295</v>
      </c>
      <c r="E12" s="1" t="s">
        <v>21</v>
      </c>
      <c r="F12" s="12">
        <v>13</v>
      </c>
      <c r="G12" s="13"/>
      <c r="H12" s="11"/>
    </row>
    <row r="13" spans="1:8" ht="27.6" x14ac:dyDescent="0.3">
      <c r="A13">
        <v>2</v>
      </c>
      <c r="B13" s="1" t="s">
        <v>311</v>
      </c>
      <c r="C13" s="1" t="s">
        <v>564</v>
      </c>
      <c r="D13" s="2" t="s">
        <v>296</v>
      </c>
      <c r="E13" s="1" t="s">
        <v>21</v>
      </c>
      <c r="F13" s="12">
        <v>13</v>
      </c>
      <c r="G13" s="13"/>
      <c r="H13" s="11"/>
    </row>
    <row r="14" spans="1:8" x14ac:dyDescent="0.3">
      <c r="A14">
        <v>2</v>
      </c>
      <c r="B14" s="1" t="s">
        <v>311</v>
      </c>
      <c r="C14" s="1" t="s">
        <v>564</v>
      </c>
      <c r="D14" s="2" t="s">
        <v>297</v>
      </c>
      <c r="E14" s="1" t="s">
        <v>21</v>
      </c>
      <c r="F14" s="12">
        <v>1</v>
      </c>
      <c r="G14" s="13">
        <v>222.00000000000003</v>
      </c>
      <c r="H14" s="11">
        <f>F14*G14</f>
        <v>222.00000000000003</v>
      </c>
    </row>
    <row r="15" spans="1:8" ht="27.6" x14ac:dyDescent="0.3">
      <c r="A15">
        <v>2</v>
      </c>
      <c r="B15" s="1" t="s">
        <v>311</v>
      </c>
      <c r="C15" s="1" t="s">
        <v>564</v>
      </c>
      <c r="D15" s="2" t="s">
        <v>298</v>
      </c>
      <c r="E15" s="1" t="s">
        <v>21</v>
      </c>
      <c r="F15" s="12">
        <v>13</v>
      </c>
      <c r="G15" s="13">
        <v>17</v>
      </c>
      <c r="H15" s="11">
        <f>F15*G15</f>
        <v>221</v>
      </c>
    </row>
    <row r="16" spans="1:8" x14ac:dyDescent="0.3">
      <c r="A16">
        <v>5</v>
      </c>
      <c r="B16" s="1" t="s">
        <v>310</v>
      </c>
      <c r="C16" s="1" t="s">
        <v>582</v>
      </c>
      <c r="D16" s="2" t="s">
        <v>299</v>
      </c>
      <c r="E16" s="1" t="s">
        <v>21</v>
      </c>
      <c r="F16" s="12">
        <v>6.3</v>
      </c>
      <c r="G16" s="13">
        <v>2.2200000000000002</v>
      </c>
      <c r="H16" s="11">
        <f>F16*G16</f>
        <v>13.986000000000001</v>
      </c>
    </row>
    <row r="17" spans="1:8" ht="27.6" x14ac:dyDescent="0.3">
      <c r="A17">
        <v>5</v>
      </c>
      <c r="B17" s="1" t="s">
        <v>310</v>
      </c>
      <c r="C17" s="1" t="s">
        <v>582</v>
      </c>
      <c r="D17" s="2" t="s">
        <v>300</v>
      </c>
      <c r="E17" s="1" t="s">
        <v>21</v>
      </c>
      <c r="F17" s="12">
        <v>6.72</v>
      </c>
      <c r="G17" s="13">
        <v>97.27000000000001</v>
      </c>
      <c r="H17" s="11">
        <f>F17*G17</f>
        <v>653.65440000000001</v>
      </c>
    </row>
    <row r="18" spans="1:8" ht="41.4" x14ac:dyDescent="0.3">
      <c r="A18">
        <v>5</v>
      </c>
      <c r="B18" s="1" t="s">
        <v>310</v>
      </c>
      <c r="C18" s="1" t="s">
        <v>582</v>
      </c>
      <c r="D18" s="2" t="s">
        <v>301</v>
      </c>
      <c r="E18" s="1" t="s">
        <v>21</v>
      </c>
      <c r="F18" s="12">
        <v>0.8</v>
      </c>
      <c r="G18" s="13">
        <v>15.72</v>
      </c>
      <c r="H18" s="11">
        <f>F18*G18</f>
        <v>12.576000000000001</v>
      </c>
    </row>
    <row r="19" spans="1:8" ht="27.6" x14ac:dyDescent="0.3">
      <c r="A19">
        <v>5</v>
      </c>
      <c r="B19" s="1" t="s">
        <v>310</v>
      </c>
      <c r="C19" s="1" t="s">
        <v>582</v>
      </c>
      <c r="D19" s="2" t="s">
        <v>302</v>
      </c>
      <c r="E19" s="1" t="s">
        <v>106</v>
      </c>
      <c r="F19" s="12">
        <v>15</v>
      </c>
      <c r="G19" s="13">
        <v>42.4</v>
      </c>
      <c r="H19" s="11">
        <f>F19*G19</f>
        <v>636</v>
      </c>
    </row>
    <row r="20" spans="1:8" x14ac:dyDescent="0.3">
      <c r="A20">
        <v>5</v>
      </c>
      <c r="B20" s="1" t="s">
        <v>310</v>
      </c>
      <c r="C20" s="1" t="s">
        <v>582</v>
      </c>
      <c r="D20" s="2" t="s">
        <v>303</v>
      </c>
      <c r="E20" s="1" t="s">
        <v>753</v>
      </c>
      <c r="F20" s="12">
        <v>32</v>
      </c>
      <c r="G20" s="13">
        <v>75</v>
      </c>
      <c r="H20" s="11">
        <f>F20*G20</f>
        <v>2400</v>
      </c>
    </row>
  </sheetData>
  <autoFilter ref="A1:G20" xr:uid="{49C4E761-839B-4CF0-9D27-8F3A138FF82B}"/>
  <conditionalFormatting sqref="B2:G20">
    <cfRule type="expression" dxfId="40" priority="1">
      <formula>$I2&gt;0</formula>
    </cfRule>
  </conditionalFormatting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F093F-5D8E-4505-9234-07EEE0F0AB50}">
  <sheetPr codeName="Лист54">
    <tabColor rgb="FF00B050"/>
  </sheetPr>
  <dimension ref="A1:H13"/>
  <sheetViews>
    <sheetView topLeftCell="A13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1</v>
      </c>
      <c r="B2" s="1" t="s">
        <v>312</v>
      </c>
      <c r="C2" s="1" t="s">
        <v>547</v>
      </c>
      <c r="D2" s="2" t="s">
        <v>292</v>
      </c>
      <c r="E2" s="1" t="s">
        <v>21</v>
      </c>
      <c r="F2" s="12">
        <v>12</v>
      </c>
      <c r="G2" s="13"/>
      <c r="H2" s="11"/>
    </row>
    <row r="3" spans="1:8" ht="27.6" x14ac:dyDescent="0.3">
      <c r="A3">
        <v>1</v>
      </c>
      <c r="B3" s="1" t="s">
        <v>312</v>
      </c>
      <c r="C3" s="1" t="s">
        <v>547</v>
      </c>
      <c r="D3" s="2" t="s">
        <v>293</v>
      </c>
      <c r="E3" s="1" t="s">
        <v>21</v>
      </c>
      <c r="F3" s="12">
        <v>1</v>
      </c>
      <c r="G3" s="13">
        <v>615</v>
      </c>
      <c r="H3" s="11">
        <f>F3*G3</f>
        <v>615</v>
      </c>
    </row>
    <row r="4" spans="1:8" ht="41.4" x14ac:dyDescent="0.3">
      <c r="A4">
        <v>1</v>
      </c>
      <c r="B4" s="1" t="s">
        <v>312</v>
      </c>
      <c r="C4" s="1" t="s">
        <v>547</v>
      </c>
      <c r="D4" s="2" t="s">
        <v>294</v>
      </c>
      <c r="E4" s="1" t="s">
        <v>21</v>
      </c>
      <c r="F4" s="12">
        <v>2</v>
      </c>
      <c r="G4" s="13"/>
      <c r="H4" s="11"/>
    </row>
    <row r="5" spans="1:8" ht="27.6" x14ac:dyDescent="0.3">
      <c r="A5">
        <v>2</v>
      </c>
      <c r="B5" s="1" t="s">
        <v>312</v>
      </c>
      <c r="C5" s="1" t="s">
        <v>557</v>
      </c>
      <c r="D5" s="2" t="s">
        <v>295</v>
      </c>
      <c r="E5" s="1" t="s">
        <v>21</v>
      </c>
      <c r="F5" s="12">
        <v>9</v>
      </c>
      <c r="G5" s="13"/>
      <c r="H5" s="11"/>
    </row>
    <row r="6" spans="1:8" ht="27.6" x14ac:dyDescent="0.3">
      <c r="A6">
        <v>2</v>
      </c>
      <c r="B6" s="1" t="s">
        <v>312</v>
      </c>
      <c r="C6" s="1" t="s">
        <v>557</v>
      </c>
      <c r="D6" s="2" t="s">
        <v>296</v>
      </c>
      <c r="E6" s="1" t="s">
        <v>21</v>
      </c>
      <c r="F6" s="12">
        <v>9</v>
      </c>
      <c r="G6" s="13"/>
      <c r="H6" s="11"/>
    </row>
    <row r="7" spans="1:8" x14ac:dyDescent="0.3">
      <c r="A7">
        <v>2</v>
      </c>
      <c r="B7" s="1" t="s">
        <v>312</v>
      </c>
      <c r="C7" s="1" t="s">
        <v>557</v>
      </c>
      <c r="D7" s="2" t="s">
        <v>297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ht="27.6" x14ac:dyDescent="0.3">
      <c r="A8">
        <v>2</v>
      </c>
      <c r="B8" s="1" t="s">
        <v>312</v>
      </c>
      <c r="C8" s="1" t="s">
        <v>557</v>
      </c>
      <c r="D8" s="2" t="s">
        <v>298</v>
      </c>
      <c r="E8" s="1" t="s">
        <v>21</v>
      </c>
      <c r="F8" s="12">
        <v>9</v>
      </c>
      <c r="G8" s="13">
        <v>17</v>
      </c>
      <c r="H8" s="11">
        <f>F8*G8</f>
        <v>153</v>
      </c>
    </row>
    <row r="9" spans="1:8" x14ac:dyDescent="0.3">
      <c r="A9">
        <v>3</v>
      </c>
      <c r="B9" s="1" t="s">
        <v>312</v>
      </c>
      <c r="C9" s="1" t="s">
        <v>583</v>
      </c>
      <c r="D9" s="2" t="s">
        <v>299</v>
      </c>
      <c r="E9" s="1" t="s">
        <v>21</v>
      </c>
      <c r="F9" s="12">
        <v>6.3</v>
      </c>
      <c r="G9" s="13">
        <v>2.2200000000000002</v>
      </c>
      <c r="H9" s="11">
        <f>F9*G9</f>
        <v>13.986000000000001</v>
      </c>
    </row>
    <row r="10" spans="1:8" ht="27.6" x14ac:dyDescent="0.3">
      <c r="A10">
        <v>3</v>
      </c>
      <c r="B10" s="1" t="s">
        <v>312</v>
      </c>
      <c r="C10" s="1" t="s">
        <v>583</v>
      </c>
      <c r="D10" s="2" t="s">
        <v>300</v>
      </c>
      <c r="E10" s="1" t="s">
        <v>21</v>
      </c>
      <c r="F10" s="12">
        <v>6.72</v>
      </c>
      <c r="G10" s="13">
        <v>97.27000000000001</v>
      </c>
      <c r="H10" s="11">
        <f>F10*G10</f>
        <v>653.65440000000001</v>
      </c>
    </row>
    <row r="11" spans="1:8" ht="41.4" x14ac:dyDescent="0.3">
      <c r="A11">
        <v>3</v>
      </c>
      <c r="B11" s="1" t="s">
        <v>312</v>
      </c>
      <c r="C11" s="1" t="s">
        <v>583</v>
      </c>
      <c r="D11" s="2" t="s">
        <v>301</v>
      </c>
      <c r="E11" s="1" t="s">
        <v>21</v>
      </c>
      <c r="F11" s="12">
        <v>0.8</v>
      </c>
      <c r="G11" s="13">
        <v>15.72</v>
      </c>
      <c r="H11" s="11">
        <f>F11*G11</f>
        <v>12.576000000000001</v>
      </c>
    </row>
    <row r="12" spans="1:8" ht="27.6" x14ac:dyDescent="0.3">
      <c r="A12">
        <v>3</v>
      </c>
      <c r="B12" s="1" t="s">
        <v>312</v>
      </c>
      <c r="C12" s="1" t="s">
        <v>583</v>
      </c>
      <c r="D12" s="2" t="s">
        <v>302</v>
      </c>
      <c r="E12" s="1" t="s">
        <v>106</v>
      </c>
      <c r="F12" s="12">
        <v>15</v>
      </c>
      <c r="G12" s="13">
        <v>42.4</v>
      </c>
      <c r="H12" s="11">
        <f>F12*G12</f>
        <v>636</v>
      </c>
    </row>
    <row r="13" spans="1:8" x14ac:dyDescent="0.3">
      <c r="A13">
        <v>3</v>
      </c>
      <c r="B13" s="1" t="s">
        <v>312</v>
      </c>
      <c r="C13" s="1" t="s">
        <v>583</v>
      </c>
      <c r="D13" s="2" t="s">
        <v>303</v>
      </c>
      <c r="E13" s="1" t="s">
        <v>753</v>
      </c>
      <c r="F13" s="12">
        <v>32</v>
      </c>
      <c r="G13" s="13">
        <v>75</v>
      </c>
      <c r="H13" s="11">
        <f>F13*G13</f>
        <v>2400</v>
      </c>
    </row>
  </sheetData>
  <autoFilter ref="A1:G13" xr:uid="{49C4E761-839B-4CF0-9D27-8F3A138FF82B}"/>
  <conditionalFormatting sqref="B2:G13">
    <cfRule type="expression" dxfId="39" priority="1">
      <formula>$I2&gt;0</formula>
    </cfRule>
  </conditionalFormatting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EB980-D409-40DD-8840-81337A8C2511}">
  <sheetPr codeName="Лист55">
    <tabColor rgb="FF00B050"/>
  </sheetPr>
  <dimension ref="A1:H13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1</v>
      </c>
      <c r="B2" s="1" t="s">
        <v>313</v>
      </c>
      <c r="C2" s="1" t="s">
        <v>548</v>
      </c>
      <c r="D2" s="2" t="s">
        <v>292</v>
      </c>
      <c r="E2" s="1" t="s">
        <v>21</v>
      </c>
      <c r="F2" s="12">
        <v>9</v>
      </c>
      <c r="G2" s="13"/>
      <c r="H2" s="11"/>
    </row>
    <row r="3" spans="1:8" ht="27.6" x14ac:dyDescent="0.3">
      <c r="A3">
        <v>1</v>
      </c>
      <c r="B3" s="1" t="s">
        <v>313</v>
      </c>
      <c r="C3" s="1" t="s">
        <v>548</v>
      </c>
      <c r="D3" s="2" t="s">
        <v>293</v>
      </c>
      <c r="E3" s="1" t="s">
        <v>21</v>
      </c>
      <c r="F3" s="12">
        <v>1</v>
      </c>
      <c r="G3" s="13">
        <v>615</v>
      </c>
      <c r="H3" s="11">
        <f>F3*G3</f>
        <v>615</v>
      </c>
    </row>
    <row r="4" spans="1:8" ht="41.4" x14ac:dyDescent="0.3">
      <c r="A4">
        <v>1</v>
      </c>
      <c r="B4" s="1" t="s">
        <v>313</v>
      </c>
      <c r="C4" s="1" t="s">
        <v>548</v>
      </c>
      <c r="D4" s="2" t="s">
        <v>294</v>
      </c>
      <c r="E4" s="1" t="s">
        <v>21</v>
      </c>
      <c r="F4" s="12">
        <v>2</v>
      </c>
      <c r="G4" s="13"/>
      <c r="H4" s="11"/>
    </row>
    <row r="5" spans="1:8" ht="27.6" x14ac:dyDescent="0.3">
      <c r="A5">
        <v>2</v>
      </c>
      <c r="B5" s="1" t="s">
        <v>313</v>
      </c>
      <c r="C5" s="1" t="s">
        <v>558</v>
      </c>
      <c r="D5" s="2" t="s">
        <v>295</v>
      </c>
      <c r="E5" s="1" t="s">
        <v>21</v>
      </c>
      <c r="F5" s="12">
        <v>6</v>
      </c>
      <c r="G5" s="13"/>
      <c r="H5" s="11"/>
    </row>
    <row r="6" spans="1:8" ht="27.6" x14ac:dyDescent="0.3">
      <c r="A6">
        <v>2</v>
      </c>
      <c r="B6" s="1" t="s">
        <v>313</v>
      </c>
      <c r="C6" s="1" t="s">
        <v>558</v>
      </c>
      <c r="D6" s="2" t="s">
        <v>296</v>
      </c>
      <c r="E6" s="1" t="s">
        <v>21</v>
      </c>
      <c r="F6" s="12">
        <v>6</v>
      </c>
      <c r="G6" s="13"/>
      <c r="H6" s="11"/>
    </row>
    <row r="7" spans="1:8" x14ac:dyDescent="0.3">
      <c r="A7">
        <v>2</v>
      </c>
      <c r="B7" s="1" t="s">
        <v>313</v>
      </c>
      <c r="C7" s="1" t="s">
        <v>558</v>
      </c>
      <c r="D7" s="2" t="s">
        <v>297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ht="27.6" x14ac:dyDescent="0.3">
      <c r="A8">
        <v>2</v>
      </c>
      <c r="B8" s="1" t="s">
        <v>313</v>
      </c>
      <c r="C8" s="1" t="s">
        <v>558</v>
      </c>
      <c r="D8" s="2" t="s">
        <v>298</v>
      </c>
      <c r="E8" s="1" t="s">
        <v>21</v>
      </c>
      <c r="F8" s="12">
        <v>6</v>
      </c>
      <c r="G8" s="13">
        <v>17</v>
      </c>
      <c r="H8" s="11">
        <f>F8*G8</f>
        <v>102</v>
      </c>
    </row>
    <row r="9" spans="1:8" x14ac:dyDescent="0.3">
      <c r="A9">
        <v>3</v>
      </c>
      <c r="B9" s="1" t="s">
        <v>313</v>
      </c>
      <c r="C9" s="1" t="s">
        <v>584</v>
      </c>
      <c r="D9" s="2" t="s">
        <v>299</v>
      </c>
      <c r="E9" s="1" t="s">
        <v>21</v>
      </c>
      <c r="F9" s="12">
        <v>6.3</v>
      </c>
      <c r="G9" s="13">
        <v>2.2200000000000002</v>
      </c>
      <c r="H9" s="11">
        <f>F9*G9</f>
        <v>13.986000000000001</v>
      </c>
    </row>
    <row r="10" spans="1:8" ht="27.6" x14ac:dyDescent="0.3">
      <c r="A10">
        <v>3</v>
      </c>
      <c r="B10" s="1" t="s">
        <v>313</v>
      </c>
      <c r="C10" s="1" t="s">
        <v>584</v>
      </c>
      <c r="D10" s="2" t="s">
        <v>300</v>
      </c>
      <c r="E10" s="1" t="s">
        <v>21</v>
      </c>
      <c r="F10" s="12">
        <v>6.72</v>
      </c>
      <c r="G10" s="13">
        <v>97.27000000000001</v>
      </c>
      <c r="H10" s="11">
        <f>F10*G10</f>
        <v>653.65440000000001</v>
      </c>
    </row>
    <row r="11" spans="1:8" ht="41.4" x14ac:dyDescent="0.3">
      <c r="A11">
        <v>3</v>
      </c>
      <c r="B11" s="1" t="s">
        <v>313</v>
      </c>
      <c r="C11" s="1" t="s">
        <v>584</v>
      </c>
      <c r="D11" s="2" t="s">
        <v>301</v>
      </c>
      <c r="E11" s="1" t="s">
        <v>21</v>
      </c>
      <c r="F11" s="12">
        <v>0.8</v>
      </c>
      <c r="G11" s="13">
        <v>15.72</v>
      </c>
      <c r="H11" s="11">
        <f>F11*G11</f>
        <v>12.576000000000001</v>
      </c>
    </row>
    <row r="12" spans="1:8" ht="27.6" x14ac:dyDescent="0.3">
      <c r="A12">
        <v>3</v>
      </c>
      <c r="B12" s="1" t="s">
        <v>313</v>
      </c>
      <c r="C12" s="1" t="s">
        <v>584</v>
      </c>
      <c r="D12" s="2" t="s">
        <v>302</v>
      </c>
      <c r="E12" s="1" t="s">
        <v>106</v>
      </c>
      <c r="F12" s="12">
        <v>15</v>
      </c>
      <c r="G12" s="13">
        <v>42.4</v>
      </c>
      <c r="H12" s="11">
        <f>F12*G12</f>
        <v>636</v>
      </c>
    </row>
    <row r="13" spans="1:8" x14ac:dyDescent="0.3">
      <c r="A13">
        <v>3</v>
      </c>
      <c r="B13" s="1" t="s">
        <v>313</v>
      </c>
      <c r="C13" s="1" t="s">
        <v>584</v>
      </c>
      <c r="D13" s="2" t="s">
        <v>303</v>
      </c>
      <c r="E13" s="1" t="s">
        <v>753</v>
      </c>
      <c r="F13" s="12">
        <v>32</v>
      </c>
      <c r="G13" s="13">
        <v>75</v>
      </c>
      <c r="H13" s="11">
        <f>F13*G13</f>
        <v>2400</v>
      </c>
    </row>
  </sheetData>
  <autoFilter ref="A1:G13" xr:uid="{49C4E761-839B-4CF0-9D27-8F3A138FF82B}"/>
  <conditionalFormatting sqref="B2:G13">
    <cfRule type="expression" dxfId="38" priority="1">
      <formula>$I2&gt;0</formula>
    </cfRule>
  </conditionalFormatting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FD802-81F0-47E6-973E-C88B0161A3A5}">
  <sheetPr codeName="Лист56">
    <tabColor rgb="FF00B050"/>
  </sheetPr>
  <dimension ref="A1:H13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314</v>
      </c>
      <c r="C2" s="1" t="s">
        <v>571</v>
      </c>
      <c r="D2" s="2" t="s">
        <v>292</v>
      </c>
      <c r="E2" s="1" t="s">
        <v>21</v>
      </c>
      <c r="F2" s="12">
        <v>10</v>
      </c>
      <c r="G2" s="13"/>
      <c r="H2" s="11"/>
    </row>
    <row r="3" spans="1:8" ht="27.6" x14ac:dyDescent="0.3">
      <c r="A3">
        <v>2</v>
      </c>
      <c r="B3" s="1" t="s">
        <v>314</v>
      </c>
      <c r="C3" s="1" t="s">
        <v>571</v>
      </c>
      <c r="D3" s="2" t="s">
        <v>293</v>
      </c>
      <c r="E3" s="1" t="s">
        <v>21</v>
      </c>
      <c r="F3" s="12">
        <v>1</v>
      </c>
      <c r="G3" s="13">
        <v>615</v>
      </c>
      <c r="H3" s="11">
        <f>F3*G3</f>
        <v>615</v>
      </c>
    </row>
    <row r="4" spans="1:8" ht="41.4" x14ac:dyDescent="0.3">
      <c r="A4">
        <v>2</v>
      </c>
      <c r="B4" s="1" t="s">
        <v>314</v>
      </c>
      <c r="C4" s="1" t="s">
        <v>571</v>
      </c>
      <c r="D4" s="2" t="s">
        <v>294</v>
      </c>
      <c r="E4" s="1" t="s">
        <v>21</v>
      </c>
      <c r="F4" s="12">
        <v>2</v>
      </c>
      <c r="G4" s="13"/>
      <c r="H4" s="11"/>
    </row>
    <row r="5" spans="1:8" ht="27.6" x14ac:dyDescent="0.3">
      <c r="A5">
        <v>1</v>
      </c>
      <c r="B5" s="1" t="s">
        <v>314</v>
      </c>
      <c r="C5" s="1" t="s">
        <v>546</v>
      </c>
      <c r="D5" s="2" t="s">
        <v>295</v>
      </c>
      <c r="E5" s="1" t="s">
        <v>21</v>
      </c>
      <c r="F5" s="12">
        <v>7</v>
      </c>
      <c r="G5" s="13"/>
      <c r="H5" s="11"/>
    </row>
    <row r="6" spans="1:8" ht="27.6" x14ac:dyDescent="0.3">
      <c r="A6">
        <v>1</v>
      </c>
      <c r="B6" s="1" t="s">
        <v>314</v>
      </c>
      <c r="C6" s="1" t="s">
        <v>546</v>
      </c>
      <c r="D6" s="2" t="s">
        <v>296</v>
      </c>
      <c r="E6" s="1" t="s">
        <v>21</v>
      </c>
      <c r="F6" s="12">
        <v>7</v>
      </c>
      <c r="G6" s="13"/>
      <c r="H6" s="11"/>
    </row>
    <row r="7" spans="1:8" x14ac:dyDescent="0.3">
      <c r="A7">
        <v>1</v>
      </c>
      <c r="B7" s="1" t="s">
        <v>314</v>
      </c>
      <c r="C7" s="1" t="s">
        <v>546</v>
      </c>
      <c r="D7" s="2" t="s">
        <v>297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ht="27.6" x14ac:dyDescent="0.3">
      <c r="A8">
        <v>1</v>
      </c>
      <c r="B8" s="1" t="s">
        <v>314</v>
      </c>
      <c r="C8" s="1" t="s">
        <v>546</v>
      </c>
      <c r="D8" s="2" t="s">
        <v>298</v>
      </c>
      <c r="E8" s="1" t="s">
        <v>21</v>
      </c>
      <c r="F8" s="12">
        <v>7.0000000000000009</v>
      </c>
      <c r="G8" s="13">
        <v>16.999999999999996</v>
      </c>
      <c r="H8" s="11">
        <f>F8*G8</f>
        <v>118.99999999999999</v>
      </c>
    </row>
    <row r="9" spans="1:8" x14ac:dyDescent="0.3">
      <c r="A9">
        <v>3</v>
      </c>
      <c r="B9" s="1" t="s">
        <v>314</v>
      </c>
      <c r="C9" s="1" t="s">
        <v>585</v>
      </c>
      <c r="D9" s="2" t="s">
        <v>299</v>
      </c>
      <c r="E9" s="1" t="s">
        <v>21</v>
      </c>
      <c r="F9" s="12">
        <v>6.3</v>
      </c>
      <c r="G9" s="13">
        <v>2.2200000000000002</v>
      </c>
      <c r="H9" s="11">
        <f>F9*G9</f>
        <v>13.986000000000001</v>
      </c>
    </row>
    <row r="10" spans="1:8" ht="27.6" x14ac:dyDescent="0.3">
      <c r="A10">
        <v>3</v>
      </c>
      <c r="B10" s="1" t="s">
        <v>314</v>
      </c>
      <c r="C10" s="1" t="s">
        <v>585</v>
      </c>
      <c r="D10" s="2" t="s">
        <v>300</v>
      </c>
      <c r="E10" s="1" t="s">
        <v>21</v>
      </c>
      <c r="F10" s="12">
        <v>6.72</v>
      </c>
      <c r="G10" s="13">
        <v>97.27000000000001</v>
      </c>
      <c r="H10" s="11">
        <f>F10*G10</f>
        <v>653.65440000000001</v>
      </c>
    </row>
    <row r="11" spans="1:8" ht="41.4" x14ac:dyDescent="0.3">
      <c r="A11">
        <v>3</v>
      </c>
      <c r="B11" s="1" t="s">
        <v>314</v>
      </c>
      <c r="C11" s="1" t="s">
        <v>585</v>
      </c>
      <c r="D11" s="2" t="s">
        <v>301</v>
      </c>
      <c r="E11" s="1" t="s">
        <v>21</v>
      </c>
      <c r="F11" s="12">
        <v>0.8</v>
      </c>
      <c r="G11" s="13">
        <v>15.72</v>
      </c>
      <c r="H11" s="11">
        <f>F11*G11</f>
        <v>12.576000000000001</v>
      </c>
    </row>
    <row r="12" spans="1:8" ht="27.6" x14ac:dyDescent="0.3">
      <c r="A12">
        <v>3</v>
      </c>
      <c r="B12" s="1" t="s">
        <v>314</v>
      </c>
      <c r="C12" s="1" t="s">
        <v>585</v>
      </c>
      <c r="D12" s="2" t="s">
        <v>302</v>
      </c>
      <c r="E12" s="1" t="s">
        <v>106</v>
      </c>
      <c r="F12" s="12">
        <v>15</v>
      </c>
      <c r="G12" s="13">
        <v>42.4</v>
      </c>
      <c r="H12" s="11">
        <f>F12*G12</f>
        <v>636</v>
      </c>
    </row>
    <row r="13" spans="1:8" x14ac:dyDescent="0.3">
      <c r="A13">
        <v>3</v>
      </c>
      <c r="B13" s="1" t="s">
        <v>314</v>
      </c>
      <c r="C13" s="1" t="s">
        <v>585</v>
      </c>
      <c r="D13" s="2" t="s">
        <v>303</v>
      </c>
      <c r="E13" s="1" t="s">
        <v>753</v>
      </c>
      <c r="F13" s="12">
        <v>32</v>
      </c>
      <c r="G13" s="13">
        <v>75</v>
      </c>
      <c r="H13" s="11">
        <f>F13*G13</f>
        <v>2400</v>
      </c>
    </row>
  </sheetData>
  <autoFilter ref="A1:G13" xr:uid="{49C4E761-839B-4CF0-9D27-8F3A138FF82B}"/>
  <conditionalFormatting sqref="B2:G13">
    <cfRule type="expression" dxfId="37" priority="1">
      <formula>$I2&gt;0</formula>
    </cfRule>
  </conditionalFormatting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E07E6-ECDB-4A9C-81A2-27360D49880D}">
  <sheetPr codeName="Лист57">
    <tabColor rgb="FF00B050"/>
  </sheetPr>
  <dimension ref="A1:H13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3</v>
      </c>
      <c r="B2" s="1" t="s">
        <v>315</v>
      </c>
      <c r="C2" s="1" t="s">
        <v>572</v>
      </c>
      <c r="D2" s="2" t="s">
        <v>292</v>
      </c>
      <c r="E2" s="1" t="s">
        <v>21</v>
      </c>
      <c r="F2" s="12">
        <v>16</v>
      </c>
      <c r="G2" s="13"/>
      <c r="H2" s="11"/>
    </row>
    <row r="3" spans="1:8" ht="27.6" x14ac:dyDescent="0.3">
      <c r="A3">
        <v>3</v>
      </c>
      <c r="B3" s="1" t="s">
        <v>315</v>
      </c>
      <c r="C3" s="1" t="s">
        <v>572</v>
      </c>
      <c r="D3" s="2" t="s">
        <v>293</v>
      </c>
      <c r="E3" s="1" t="s">
        <v>21</v>
      </c>
      <c r="F3" s="12">
        <v>1</v>
      </c>
      <c r="G3" s="13">
        <v>615</v>
      </c>
      <c r="H3" s="11">
        <f>F3*G3</f>
        <v>615</v>
      </c>
    </row>
    <row r="4" spans="1:8" ht="41.4" x14ac:dyDescent="0.3">
      <c r="A4">
        <v>3</v>
      </c>
      <c r="B4" s="1" t="s">
        <v>315</v>
      </c>
      <c r="C4" s="1" t="s">
        <v>572</v>
      </c>
      <c r="D4" s="2" t="s">
        <v>294</v>
      </c>
      <c r="E4" s="1" t="s">
        <v>21</v>
      </c>
      <c r="F4" s="12">
        <v>2</v>
      </c>
      <c r="G4" s="13"/>
      <c r="H4" s="11"/>
    </row>
    <row r="5" spans="1:8" ht="27.6" x14ac:dyDescent="0.3">
      <c r="A5">
        <v>2</v>
      </c>
      <c r="B5" s="1" t="s">
        <v>315</v>
      </c>
      <c r="C5" s="1" t="s">
        <v>559</v>
      </c>
      <c r="D5" s="2" t="s">
        <v>295</v>
      </c>
      <c r="E5" s="1" t="s">
        <v>21</v>
      </c>
      <c r="F5" s="12">
        <v>13</v>
      </c>
      <c r="G5" s="13"/>
      <c r="H5" s="11"/>
    </row>
    <row r="6" spans="1:8" ht="27.6" x14ac:dyDescent="0.3">
      <c r="A6">
        <v>2</v>
      </c>
      <c r="B6" s="1" t="s">
        <v>315</v>
      </c>
      <c r="C6" s="1" t="s">
        <v>559</v>
      </c>
      <c r="D6" s="2" t="s">
        <v>296</v>
      </c>
      <c r="E6" s="1" t="s">
        <v>21</v>
      </c>
      <c r="F6" s="12">
        <v>13</v>
      </c>
      <c r="G6" s="13"/>
      <c r="H6" s="11"/>
    </row>
    <row r="7" spans="1:8" x14ac:dyDescent="0.3">
      <c r="A7">
        <v>2</v>
      </c>
      <c r="B7" s="1" t="s">
        <v>315</v>
      </c>
      <c r="C7" s="1" t="s">
        <v>559</v>
      </c>
      <c r="D7" s="2" t="s">
        <v>297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ht="27.6" x14ac:dyDescent="0.3">
      <c r="A8">
        <v>2</v>
      </c>
      <c r="B8" s="1" t="s">
        <v>315</v>
      </c>
      <c r="C8" s="1" t="s">
        <v>559</v>
      </c>
      <c r="D8" s="2" t="s">
        <v>298</v>
      </c>
      <c r="E8" s="1" t="s">
        <v>21</v>
      </c>
      <c r="F8" s="12">
        <v>13</v>
      </c>
      <c r="G8" s="13">
        <v>17</v>
      </c>
      <c r="H8" s="11">
        <f>F8*G8</f>
        <v>221</v>
      </c>
    </row>
    <row r="9" spans="1:8" x14ac:dyDescent="0.3">
      <c r="A9">
        <v>1</v>
      </c>
      <c r="B9" s="1" t="s">
        <v>315</v>
      </c>
      <c r="C9" s="1" t="s">
        <v>551</v>
      </c>
      <c r="D9" s="2" t="s">
        <v>299</v>
      </c>
      <c r="E9" s="1" t="s">
        <v>21</v>
      </c>
      <c r="F9" s="12">
        <v>6.3</v>
      </c>
      <c r="G9" s="13">
        <v>2.2200000000000002</v>
      </c>
      <c r="H9" s="11">
        <f>F9*G9</f>
        <v>13.986000000000001</v>
      </c>
    </row>
    <row r="10" spans="1:8" ht="27.6" x14ac:dyDescent="0.3">
      <c r="A10">
        <v>1</v>
      </c>
      <c r="B10" s="1" t="s">
        <v>315</v>
      </c>
      <c r="C10" s="1" t="s">
        <v>551</v>
      </c>
      <c r="D10" s="2" t="s">
        <v>300</v>
      </c>
      <c r="E10" s="1" t="s">
        <v>21</v>
      </c>
      <c r="F10" s="12">
        <v>6.72</v>
      </c>
      <c r="G10" s="13">
        <v>97.27000000000001</v>
      </c>
      <c r="H10" s="11">
        <f>F10*G10</f>
        <v>653.65440000000001</v>
      </c>
    </row>
    <row r="11" spans="1:8" ht="41.4" x14ac:dyDescent="0.3">
      <c r="A11">
        <v>1</v>
      </c>
      <c r="B11" s="1" t="s">
        <v>315</v>
      </c>
      <c r="C11" s="1" t="s">
        <v>551</v>
      </c>
      <c r="D11" s="2" t="s">
        <v>301</v>
      </c>
      <c r="E11" s="1" t="s">
        <v>21</v>
      </c>
      <c r="F11" s="12">
        <v>0.8</v>
      </c>
      <c r="G11" s="13">
        <v>15.72</v>
      </c>
      <c r="H11" s="11">
        <f>F11*G11</f>
        <v>12.576000000000001</v>
      </c>
    </row>
    <row r="12" spans="1:8" ht="27.6" x14ac:dyDescent="0.3">
      <c r="A12">
        <v>1</v>
      </c>
      <c r="B12" s="1" t="s">
        <v>315</v>
      </c>
      <c r="C12" s="1" t="s">
        <v>551</v>
      </c>
      <c r="D12" s="2" t="s">
        <v>302</v>
      </c>
      <c r="E12" s="1" t="s">
        <v>106</v>
      </c>
      <c r="F12" s="12">
        <v>15</v>
      </c>
      <c r="G12" s="13">
        <v>42.4</v>
      </c>
      <c r="H12" s="11">
        <f>F12*G12</f>
        <v>636</v>
      </c>
    </row>
    <row r="13" spans="1:8" x14ac:dyDescent="0.3">
      <c r="A13">
        <v>1</v>
      </c>
      <c r="B13" s="1" t="s">
        <v>315</v>
      </c>
      <c r="C13" s="1" t="s">
        <v>551</v>
      </c>
      <c r="D13" s="2" t="s">
        <v>303</v>
      </c>
      <c r="E13" s="1" t="s">
        <v>753</v>
      </c>
      <c r="F13" s="12">
        <v>32</v>
      </c>
      <c r="G13" s="13">
        <v>75</v>
      </c>
      <c r="H13" s="11">
        <f>F13*G13</f>
        <v>2400</v>
      </c>
    </row>
  </sheetData>
  <autoFilter ref="A1:G13" xr:uid="{49C4E761-839B-4CF0-9D27-8F3A138FF82B}"/>
  <conditionalFormatting sqref="B2:G13">
    <cfRule type="expression" dxfId="36" priority="1">
      <formula>$I2&gt;0</formula>
    </cfRule>
  </conditionalFormatting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428CF-F93D-417A-99E6-C32D36C5507C}">
  <sheetPr codeName="Лист58">
    <tabColor rgb="FF00B050"/>
  </sheetPr>
  <dimension ref="A1:H13"/>
  <sheetViews>
    <sheetView workbookViewId="0">
      <selection sqref="A1:G1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316</v>
      </c>
      <c r="C2" s="1" t="s">
        <v>573</v>
      </c>
      <c r="D2" s="2" t="s">
        <v>292</v>
      </c>
      <c r="E2" s="1" t="s">
        <v>21</v>
      </c>
      <c r="F2" s="12">
        <v>12</v>
      </c>
      <c r="G2" s="13"/>
      <c r="H2" s="11"/>
    </row>
    <row r="3" spans="1:8" ht="27.6" x14ac:dyDescent="0.3">
      <c r="A3">
        <v>2</v>
      </c>
      <c r="B3" s="1" t="s">
        <v>316</v>
      </c>
      <c r="C3" s="1" t="s">
        <v>573</v>
      </c>
      <c r="D3" s="2" t="s">
        <v>293</v>
      </c>
      <c r="E3" s="1" t="s">
        <v>21</v>
      </c>
      <c r="F3" s="12">
        <v>1</v>
      </c>
      <c r="G3" s="13">
        <v>615</v>
      </c>
      <c r="H3" s="11">
        <f>F3*G3</f>
        <v>615</v>
      </c>
    </row>
    <row r="4" spans="1:8" ht="41.4" x14ac:dyDescent="0.3">
      <c r="A4">
        <v>2</v>
      </c>
      <c r="B4" s="1" t="s">
        <v>316</v>
      </c>
      <c r="C4" s="1" t="s">
        <v>573</v>
      </c>
      <c r="D4" s="2" t="s">
        <v>294</v>
      </c>
      <c r="E4" s="1" t="s">
        <v>21</v>
      </c>
      <c r="F4" s="12">
        <v>2</v>
      </c>
      <c r="G4" s="13"/>
      <c r="H4" s="11"/>
    </row>
    <row r="5" spans="1:8" ht="27.6" x14ac:dyDescent="0.3">
      <c r="A5">
        <v>1</v>
      </c>
      <c r="B5" s="1" t="s">
        <v>316</v>
      </c>
      <c r="C5" s="1" t="s">
        <v>560</v>
      </c>
      <c r="D5" s="2" t="s">
        <v>295</v>
      </c>
      <c r="E5" s="1" t="s">
        <v>21</v>
      </c>
      <c r="F5" s="12">
        <v>9</v>
      </c>
      <c r="G5" s="13"/>
      <c r="H5" s="11"/>
    </row>
    <row r="6" spans="1:8" ht="27.6" x14ac:dyDescent="0.3">
      <c r="A6">
        <v>1</v>
      </c>
      <c r="B6" s="1" t="s">
        <v>316</v>
      </c>
      <c r="C6" s="1" t="s">
        <v>560</v>
      </c>
      <c r="D6" s="2" t="s">
        <v>296</v>
      </c>
      <c r="E6" s="1" t="s">
        <v>21</v>
      </c>
      <c r="F6" s="12">
        <v>9</v>
      </c>
      <c r="G6" s="13"/>
      <c r="H6" s="11"/>
    </row>
    <row r="7" spans="1:8" x14ac:dyDescent="0.3">
      <c r="A7">
        <v>1</v>
      </c>
      <c r="B7" s="1" t="s">
        <v>316</v>
      </c>
      <c r="C7" s="1" t="s">
        <v>560</v>
      </c>
      <c r="D7" s="2" t="s">
        <v>297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ht="27.6" x14ac:dyDescent="0.3">
      <c r="A8">
        <v>1</v>
      </c>
      <c r="B8" s="1" t="s">
        <v>316</v>
      </c>
      <c r="C8" s="1" t="s">
        <v>560</v>
      </c>
      <c r="D8" s="2" t="s">
        <v>298</v>
      </c>
      <c r="E8" s="1" t="s">
        <v>21</v>
      </c>
      <c r="F8" s="12">
        <v>9</v>
      </c>
      <c r="G8" s="13">
        <v>17</v>
      </c>
      <c r="H8" s="11">
        <f>F8*G8</f>
        <v>153</v>
      </c>
    </row>
    <row r="9" spans="1:8" x14ac:dyDescent="0.3">
      <c r="A9">
        <v>3</v>
      </c>
      <c r="B9" s="1" t="s">
        <v>316</v>
      </c>
      <c r="C9" s="1" t="s">
        <v>586</v>
      </c>
      <c r="D9" s="2" t="s">
        <v>299</v>
      </c>
      <c r="E9" s="1" t="s">
        <v>21</v>
      </c>
      <c r="F9" s="12">
        <v>6.3</v>
      </c>
      <c r="G9" s="13">
        <v>2.2200000000000002</v>
      </c>
      <c r="H9" s="11">
        <f>F9*G9</f>
        <v>13.986000000000001</v>
      </c>
    </row>
    <row r="10" spans="1:8" ht="27.6" x14ac:dyDescent="0.3">
      <c r="A10">
        <v>3</v>
      </c>
      <c r="B10" s="1" t="s">
        <v>316</v>
      </c>
      <c r="C10" s="1" t="s">
        <v>586</v>
      </c>
      <c r="D10" s="2" t="s">
        <v>300</v>
      </c>
      <c r="E10" s="1" t="s">
        <v>21</v>
      </c>
      <c r="F10" s="12">
        <v>6.72</v>
      </c>
      <c r="G10" s="13">
        <v>97.27000000000001</v>
      </c>
      <c r="H10" s="11">
        <f>F10*G10</f>
        <v>653.65440000000001</v>
      </c>
    </row>
    <row r="11" spans="1:8" ht="41.4" x14ac:dyDescent="0.3">
      <c r="A11">
        <v>3</v>
      </c>
      <c r="B11" s="1" t="s">
        <v>316</v>
      </c>
      <c r="C11" s="1" t="s">
        <v>586</v>
      </c>
      <c r="D11" s="2" t="s">
        <v>301</v>
      </c>
      <c r="E11" s="1" t="s">
        <v>21</v>
      </c>
      <c r="F11" s="12">
        <v>0.8</v>
      </c>
      <c r="G11" s="13">
        <v>15.72</v>
      </c>
      <c r="H11" s="11">
        <f>F11*G11</f>
        <v>12.576000000000001</v>
      </c>
    </row>
    <row r="12" spans="1:8" ht="27.6" x14ac:dyDescent="0.3">
      <c r="A12">
        <v>3</v>
      </c>
      <c r="B12" s="1" t="s">
        <v>316</v>
      </c>
      <c r="C12" s="1" t="s">
        <v>586</v>
      </c>
      <c r="D12" s="2" t="s">
        <v>302</v>
      </c>
      <c r="E12" s="1" t="s">
        <v>106</v>
      </c>
      <c r="F12" s="12">
        <v>15</v>
      </c>
      <c r="G12" s="13">
        <v>42.4</v>
      </c>
      <c r="H12" s="11">
        <f>F12*G12</f>
        <v>636</v>
      </c>
    </row>
    <row r="13" spans="1:8" x14ac:dyDescent="0.3">
      <c r="A13">
        <v>3</v>
      </c>
      <c r="B13" s="1" t="s">
        <v>316</v>
      </c>
      <c r="C13" s="1" t="s">
        <v>586</v>
      </c>
      <c r="D13" s="2" t="s">
        <v>303</v>
      </c>
      <c r="E13" s="1" t="s">
        <v>753</v>
      </c>
      <c r="F13" s="12">
        <v>32</v>
      </c>
      <c r="G13" s="13">
        <v>75</v>
      </c>
      <c r="H13" s="11">
        <f>F13*G13</f>
        <v>2400</v>
      </c>
    </row>
  </sheetData>
  <autoFilter ref="A1:G13" xr:uid="{49C4E761-839B-4CF0-9D27-8F3A138FF82B}"/>
  <conditionalFormatting sqref="B2:G13">
    <cfRule type="expression" dxfId="35" priority="1">
      <formula>$I2&gt;0</formula>
    </cfRule>
  </conditionalFormatting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EAF8EE-BEA6-48BA-85C5-0989C437364E}">
  <sheetPr codeName="Лист93">
    <tabColor rgb="FF00B050"/>
  </sheetPr>
  <dimension ref="A1:H6"/>
  <sheetViews>
    <sheetView workbookViewId="0">
      <selection activeCell="D18" sqref="D18"/>
    </sheetView>
  </sheetViews>
  <sheetFormatPr defaultRowHeight="14.4" x14ac:dyDescent="0.3"/>
  <cols>
    <col min="1" max="1" width="13.21875" customWidth="1"/>
    <col min="2" max="2" width="25.33203125" customWidth="1"/>
    <col min="3" max="3" width="87.44140625" customWidth="1"/>
    <col min="4" max="4" width="49.21875" customWidth="1"/>
    <col min="5" max="5" width="12.21875" customWidth="1"/>
  </cols>
  <sheetData>
    <row r="1" spans="1:8" ht="69" x14ac:dyDescent="0.3">
      <c r="A1" s="8"/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 s="8">
        <v>4</v>
      </c>
      <c r="B2" s="4" t="s">
        <v>311</v>
      </c>
      <c r="C2" s="4" t="s">
        <v>590</v>
      </c>
      <c r="D2" s="4" t="s">
        <v>299</v>
      </c>
      <c r="E2" s="4" t="s">
        <v>21</v>
      </c>
      <c r="F2" s="9">
        <v>6.3</v>
      </c>
      <c r="G2" s="10">
        <v>2.2200000000000002</v>
      </c>
      <c r="H2" s="11">
        <f>F2*G2</f>
        <v>13.986000000000001</v>
      </c>
    </row>
    <row r="3" spans="1:8" ht="41.4" x14ac:dyDescent="0.3">
      <c r="A3" s="8">
        <v>4</v>
      </c>
      <c r="B3" s="4" t="s">
        <v>311</v>
      </c>
      <c r="C3" s="4" t="s">
        <v>590</v>
      </c>
      <c r="D3" s="4" t="s">
        <v>300</v>
      </c>
      <c r="E3" s="4" t="s">
        <v>21</v>
      </c>
      <c r="F3" s="9">
        <v>6.72</v>
      </c>
      <c r="G3" s="10">
        <v>97.27000000000001</v>
      </c>
      <c r="H3" s="11">
        <f>F3*G3</f>
        <v>653.65440000000001</v>
      </c>
    </row>
    <row r="4" spans="1:8" ht="55.2" x14ac:dyDescent="0.3">
      <c r="A4" s="8">
        <v>4</v>
      </c>
      <c r="B4" s="4" t="s">
        <v>311</v>
      </c>
      <c r="C4" s="4" t="s">
        <v>590</v>
      </c>
      <c r="D4" s="4" t="s">
        <v>301</v>
      </c>
      <c r="E4" s="4" t="s">
        <v>21</v>
      </c>
      <c r="F4" s="9">
        <v>0.8</v>
      </c>
      <c r="G4" s="10">
        <v>15.72</v>
      </c>
      <c r="H4" s="11">
        <f>F4*G4</f>
        <v>12.576000000000001</v>
      </c>
    </row>
    <row r="5" spans="1:8" ht="27.6" x14ac:dyDescent="0.3">
      <c r="A5" s="8">
        <v>4</v>
      </c>
      <c r="B5" s="4" t="s">
        <v>311</v>
      </c>
      <c r="C5" s="4" t="s">
        <v>590</v>
      </c>
      <c r="D5" s="4" t="s">
        <v>302</v>
      </c>
      <c r="E5" s="4" t="s">
        <v>106</v>
      </c>
      <c r="F5" s="9">
        <v>15</v>
      </c>
      <c r="G5" s="10">
        <v>42.4</v>
      </c>
      <c r="H5" s="11">
        <f>F5*G5</f>
        <v>636</v>
      </c>
    </row>
    <row r="6" spans="1:8" x14ac:dyDescent="0.3">
      <c r="A6" s="8">
        <v>4</v>
      </c>
      <c r="B6" s="4" t="s">
        <v>311</v>
      </c>
      <c r="C6" s="4" t="s">
        <v>590</v>
      </c>
      <c r="D6" s="4" t="s">
        <v>303</v>
      </c>
      <c r="E6" s="4" t="s">
        <v>753</v>
      </c>
      <c r="F6" s="9">
        <v>32</v>
      </c>
      <c r="G6" s="10">
        <v>75</v>
      </c>
      <c r="H6" s="11">
        <f>F6*G6</f>
        <v>2400</v>
      </c>
    </row>
  </sheetData>
  <conditionalFormatting sqref="B2:G6">
    <cfRule type="expression" dxfId="34" priority="1">
      <formula>$I2&gt;0</formula>
    </cfRule>
  </conditionalFormatting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129E7-20D6-4569-9B0A-F8BB97A73C5B}">
  <sheetPr codeName="Лист59">
    <tabColor rgb="FF00B050"/>
  </sheetPr>
  <dimension ref="A1:H13"/>
  <sheetViews>
    <sheetView topLeftCell="A13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317</v>
      </c>
      <c r="C2" s="1" t="s">
        <v>574</v>
      </c>
      <c r="D2" s="2" t="s">
        <v>292</v>
      </c>
      <c r="E2" s="1" t="s">
        <v>21</v>
      </c>
      <c r="F2" s="12">
        <v>20</v>
      </c>
      <c r="G2" s="13"/>
      <c r="H2" s="11"/>
    </row>
    <row r="3" spans="1:8" ht="27.6" x14ac:dyDescent="0.3">
      <c r="A3">
        <v>2</v>
      </c>
      <c r="B3" s="1" t="s">
        <v>317</v>
      </c>
      <c r="C3" s="1" t="s">
        <v>574</v>
      </c>
      <c r="D3" s="2" t="s">
        <v>293</v>
      </c>
      <c r="E3" s="1" t="s">
        <v>21</v>
      </c>
      <c r="F3" s="12">
        <v>1</v>
      </c>
      <c r="G3" s="13">
        <v>615</v>
      </c>
      <c r="H3" s="11">
        <f>F3*G3</f>
        <v>615</v>
      </c>
    </row>
    <row r="4" spans="1:8" ht="41.4" x14ac:dyDescent="0.3">
      <c r="A4">
        <v>2</v>
      </c>
      <c r="B4" s="1" t="s">
        <v>317</v>
      </c>
      <c r="C4" s="1" t="s">
        <v>574</v>
      </c>
      <c r="D4" s="2" t="s">
        <v>294</v>
      </c>
      <c r="E4" s="1" t="s">
        <v>21</v>
      </c>
      <c r="F4" s="12">
        <v>10</v>
      </c>
      <c r="G4" s="13"/>
      <c r="H4" s="11"/>
    </row>
    <row r="5" spans="1:8" ht="27.6" x14ac:dyDescent="0.3">
      <c r="A5">
        <v>1</v>
      </c>
      <c r="B5" s="1" t="s">
        <v>317</v>
      </c>
      <c r="C5" s="1" t="s">
        <v>561</v>
      </c>
      <c r="D5" s="2" t="s">
        <v>295</v>
      </c>
      <c r="E5" s="1" t="s">
        <v>21</v>
      </c>
      <c r="F5" s="12">
        <v>9</v>
      </c>
      <c r="G5" s="13"/>
      <c r="H5" s="11"/>
    </row>
    <row r="6" spans="1:8" ht="27.6" x14ac:dyDescent="0.3">
      <c r="A6">
        <v>1</v>
      </c>
      <c r="B6" s="1" t="s">
        <v>317</v>
      </c>
      <c r="C6" s="1" t="s">
        <v>561</v>
      </c>
      <c r="D6" s="2" t="s">
        <v>296</v>
      </c>
      <c r="E6" s="1" t="s">
        <v>21</v>
      </c>
      <c r="F6" s="12">
        <v>9</v>
      </c>
      <c r="G6" s="13"/>
      <c r="H6" s="11"/>
    </row>
    <row r="7" spans="1:8" x14ac:dyDescent="0.3">
      <c r="A7">
        <v>1</v>
      </c>
      <c r="B7" s="1" t="s">
        <v>317</v>
      </c>
      <c r="C7" s="1" t="s">
        <v>561</v>
      </c>
      <c r="D7" s="2" t="s">
        <v>297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ht="27.6" x14ac:dyDescent="0.3">
      <c r="A8">
        <v>1</v>
      </c>
      <c r="B8" s="1" t="s">
        <v>317</v>
      </c>
      <c r="C8" s="1" t="s">
        <v>561</v>
      </c>
      <c r="D8" s="2" t="s">
        <v>298</v>
      </c>
      <c r="E8" s="1" t="s">
        <v>21</v>
      </c>
      <c r="F8" s="12">
        <v>9</v>
      </c>
      <c r="G8" s="13">
        <v>17</v>
      </c>
      <c r="H8" s="11">
        <f>F8*G8</f>
        <v>153</v>
      </c>
    </row>
    <row r="9" spans="1:8" x14ac:dyDescent="0.3">
      <c r="A9">
        <v>3</v>
      </c>
      <c r="B9" s="1" t="s">
        <v>317</v>
      </c>
      <c r="C9" s="1" t="s">
        <v>587</v>
      </c>
      <c r="D9" s="2" t="s">
        <v>299</v>
      </c>
      <c r="E9" s="1" t="s">
        <v>21</v>
      </c>
      <c r="F9" s="12">
        <v>6.3</v>
      </c>
      <c r="G9" s="13">
        <v>2.2200000000000002</v>
      </c>
      <c r="H9" s="11">
        <f>F9*G9</f>
        <v>13.986000000000001</v>
      </c>
    </row>
    <row r="10" spans="1:8" ht="27.6" x14ac:dyDescent="0.3">
      <c r="A10">
        <v>3</v>
      </c>
      <c r="B10" s="1" t="s">
        <v>317</v>
      </c>
      <c r="C10" s="1" t="s">
        <v>587</v>
      </c>
      <c r="D10" s="2" t="s">
        <v>300</v>
      </c>
      <c r="E10" s="1" t="s">
        <v>21</v>
      </c>
      <c r="F10" s="12">
        <v>6.72</v>
      </c>
      <c r="G10" s="13">
        <v>97.27000000000001</v>
      </c>
      <c r="H10" s="11">
        <f>F10*G10</f>
        <v>653.65440000000001</v>
      </c>
    </row>
    <row r="11" spans="1:8" ht="41.4" x14ac:dyDescent="0.3">
      <c r="A11">
        <v>3</v>
      </c>
      <c r="B11" s="1" t="s">
        <v>317</v>
      </c>
      <c r="C11" s="1" t="s">
        <v>587</v>
      </c>
      <c r="D11" s="2" t="s">
        <v>301</v>
      </c>
      <c r="E11" s="1" t="s">
        <v>21</v>
      </c>
      <c r="F11" s="12">
        <v>0.8</v>
      </c>
      <c r="G11" s="13">
        <v>15.72</v>
      </c>
      <c r="H11" s="11">
        <f>F11*G11</f>
        <v>12.576000000000001</v>
      </c>
    </row>
    <row r="12" spans="1:8" ht="27.6" x14ac:dyDescent="0.3">
      <c r="A12">
        <v>3</v>
      </c>
      <c r="B12" s="1" t="s">
        <v>317</v>
      </c>
      <c r="C12" s="1" t="s">
        <v>587</v>
      </c>
      <c r="D12" s="2" t="s">
        <v>302</v>
      </c>
      <c r="E12" s="1" t="s">
        <v>106</v>
      </c>
      <c r="F12" s="12">
        <v>15</v>
      </c>
      <c r="G12" s="13">
        <v>42.4</v>
      </c>
      <c r="H12" s="11">
        <f>F12*G12</f>
        <v>636</v>
      </c>
    </row>
    <row r="13" spans="1:8" x14ac:dyDescent="0.3">
      <c r="A13">
        <v>3</v>
      </c>
      <c r="B13" s="1" t="s">
        <v>317</v>
      </c>
      <c r="C13" s="1" t="s">
        <v>587</v>
      </c>
      <c r="D13" s="2" t="s">
        <v>303</v>
      </c>
      <c r="E13" s="1" t="s">
        <v>753</v>
      </c>
      <c r="F13" s="12">
        <v>32</v>
      </c>
      <c r="G13" s="13">
        <v>75</v>
      </c>
      <c r="H13" s="11">
        <f>F13*G13</f>
        <v>2400</v>
      </c>
    </row>
  </sheetData>
  <autoFilter ref="A1:G13" xr:uid="{49C4E761-839B-4CF0-9D27-8F3A138FF82B}"/>
  <conditionalFormatting sqref="B2:G13">
    <cfRule type="expression" dxfId="33" priority="1">
      <formula>$I2&gt;0</formula>
    </cfRule>
  </conditionalFormatting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FB3E3-9BAF-488C-8C72-91406D06DDAE}">
  <sheetPr codeName="Лист60">
    <tabColor rgb="FF00B050"/>
  </sheetPr>
  <dimension ref="A1:H13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318</v>
      </c>
      <c r="C2" s="1" t="s">
        <v>575</v>
      </c>
      <c r="D2" s="2" t="s">
        <v>292</v>
      </c>
      <c r="E2" s="1" t="s">
        <v>21</v>
      </c>
      <c r="F2" s="12">
        <v>16</v>
      </c>
      <c r="G2" s="13"/>
      <c r="H2" s="11"/>
    </row>
    <row r="3" spans="1:8" ht="27.6" x14ac:dyDescent="0.3">
      <c r="A3">
        <v>2</v>
      </c>
      <c r="B3" s="1" t="s">
        <v>318</v>
      </c>
      <c r="C3" s="1" t="s">
        <v>575</v>
      </c>
      <c r="D3" s="2" t="s">
        <v>293</v>
      </c>
      <c r="E3" s="1" t="s">
        <v>21</v>
      </c>
      <c r="F3" s="12">
        <v>1</v>
      </c>
      <c r="G3" s="13">
        <v>615</v>
      </c>
      <c r="H3" s="11">
        <f>F3*G3</f>
        <v>615</v>
      </c>
    </row>
    <row r="4" spans="1:8" ht="41.4" x14ac:dyDescent="0.3">
      <c r="A4">
        <v>2</v>
      </c>
      <c r="B4" s="1" t="s">
        <v>318</v>
      </c>
      <c r="C4" s="1" t="s">
        <v>575</v>
      </c>
      <c r="D4" s="2" t="s">
        <v>294</v>
      </c>
      <c r="E4" s="1" t="s">
        <v>21</v>
      </c>
      <c r="F4" s="12">
        <v>10</v>
      </c>
      <c r="G4" s="13"/>
      <c r="H4" s="11"/>
    </row>
    <row r="5" spans="1:8" ht="27.6" x14ac:dyDescent="0.3">
      <c r="A5">
        <v>1</v>
      </c>
      <c r="B5" s="1" t="s">
        <v>318</v>
      </c>
      <c r="C5" s="1" t="s">
        <v>562</v>
      </c>
      <c r="D5" s="2" t="s">
        <v>295</v>
      </c>
      <c r="E5" s="1" t="s">
        <v>21</v>
      </c>
      <c r="F5" s="12">
        <v>5</v>
      </c>
      <c r="G5" s="13"/>
      <c r="H5" s="11"/>
    </row>
    <row r="6" spans="1:8" ht="27.6" x14ac:dyDescent="0.3">
      <c r="A6">
        <v>1</v>
      </c>
      <c r="B6" s="1" t="s">
        <v>318</v>
      </c>
      <c r="C6" s="1" t="s">
        <v>562</v>
      </c>
      <c r="D6" s="2" t="s">
        <v>296</v>
      </c>
      <c r="E6" s="1" t="s">
        <v>21</v>
      </c>
      <c r="F6" s="12">
        <v>5</v>
      </c>
      <c r="G6" s="13"/>
      <c r="H6" s="11"/>
    </row>
    <row r="7" spans="1:8" x14ac:dyDescent="0.3">
      <c r="A7">
        <v>1</v>
      </c>
      <c r="B7" s="1" t="s">
        <v>318</v>
      </c>
      <c r="C7" s="1" t="s">
        <v>562</v>
      </c>
      <c r="D7" s="2" t="s">
        <v>297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ht="27.6" x14ac:dyDescent="0.3">
      <c r="A8">
        <v>1</v>
      </c>
      <c r="B8" s="1" t="s">
        <v>318</v>
      </c>
      <c r="C8" s="1" t="s">
        <v>562</v>
      </c>
      <c r="D8" s="2" t="s">
        <v>298</v>
      </c>
      <c r="E8" s="1" t="s">
        <v>21</v>
      </c>
      <c r="F8" s="12">
        <v>5</v>
      </c>
      <c r="G8" s="13">
        <v>17</v>
      </c>
      <c r="H8" s="11">
        <f>F8*G8</f>
        <v>85</v>
      </c>
    </row>
    <row r="9" spans="1:8" x14ac:dyDescent="0.3">
      <c r="A9">
        <v>3</v>
      </c>
      <c r="B9" s="1" t="s">
        <v>318</v>
      </c>
      <c r="C9" s="1" t="s">
        <v>588</v>
      </c>
      <c r="D9" s="2" t="s">
        <v>299</v>
      </c>
      <c r="E9" s="1" t="s">
        <v>21</v>
      </c>
      <c r="F9" s="12">
        <v>6.3</v>
      </c>
      <c r="G9" s="13">
        <v>2.2200000000000002</v>
      </c>
      <c r="H9" s="11">
        <f>F9*G9</f>
        <v>13.986000000000001</v>
      </c>
    </row>
    <row r="10" spans="1:8" ht="27.6" x14ac:dyDescent="0.3">
      <c r="A10">
        <v>3</v>
      </c>
      <c r="B10" s="1" t="s">
        <v>318</v>
      </c>
      <c r="C10" s="1" t="s">
        <v>588</v>
      </c>
      <c r="D10" s="2" t="s">
        <v>300</v>
      </c>
      <c r="E10" s="1" t="s">
        <v>21</v>
      </c>
      <c r="F10" s="12">
        <v>6.72</v>
      </c>
      <c r="G10" s="13">
        <v>97.27000000000001</v>
      </c>
      <c r="H10" s="11">
        <f>F10*G10</f>
        <v>653.65440000000001</v>
      </c>
    </row>
    <row r="11" spans="1:8" ht="41.4" x14ac:dyDescent="0.3">
      <c r="A11">
        <v>3</v>
      </c>
      <c r="B11" s="1" t="s">
        <v>318</v>
      </c>
      <c r="C11" s="1" t="s">
        <v>588</v>
      </c>
      <c r="D11" s="2" t="s">
        <v>301</v>
      </c>
      <c r="E11" s="1" t="s">
        <v>21</v>
      </c>
      <c r="F11" s="12">
        <v>0.8</v>
      </c>
      <c r="G11" s="13">
        <v>15.72</v>
      </c>
      <c r="H11" s="11">
        <f>F11*G11</f>
        <v>12.576000000000001</v>
      </c>
    </row>
    <row r="12" spans="1:8" ht="27.6" x14ac:dyDescent="0.3">
      <c r="A12">
        <v>3</v>
      </c>
      <c r="B12" s="1" t="s">
        <v>318</v>
      </c>
      <c r="C12" s="1" t="s">
        <v>588</v>
      </c>
      <c r="D12" s="2" t="s">
        <v>302</v>
      </c>
      <c r="E12" s="1" t="s">
        <v>106</v>
      </c>
      <c r="F12" s="12">
        <v>15</v>
      </c>
      <c r="G12" s="13">
        <v>42.4</v>
      </c>
      <c r="H12" s="11">
        <f>F12*G12</f>
        <v>636</v>
      </c>
    </row>
    <row r="13" spans="1:8" x14ac:dyDescent="0.3">
      <c r="A13">
        <v>3</v>
      </c>
      <c r="B13" s="1" t="s">
        <v>318</v>
      </c>
      <c r="C13" s="1" t="s">
        <v>588</v>
      </c>
      <c r="D13" s="2" t="s">
        <v>303</v>
      </c>
      <c r="E13" s="1" t="s">
        <v>753</v>
      </c>
      <c r="F13" s="12">
        <v>32</v>
      </c>
      <c r="G13" s="13">
        <v>75</v>
      </c>
      <c r="H13" s="11">
        <f>F13*G13</f>
        <v>2400</v>
      </c>
    </row>
  </sheetData>
  <autoFilter ref="A1:G13" xr:uid="{49C4E761-839B-4CF0-9D27-8F3A138FF82B}"/>
  <conditionalFormatting sqref="B2:G13">
    <cfRule type="expression" dxfId="32" priority="1">
      <formula>$I2&gt;0</formula>
    </cfRule>
  </conditionalFormatting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07BB9-E456-4295-B76B-0DEFCE0B7F3B}">
  <sheetPr codeName="Лист61">
    <tabColor rgb="FF00B050"/>
  </sheetPr>
  <dimension ref="A1:H13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1</v>
      </c>
      <c r="B2" s="1" t="s">
        <v>319</v>
      </c>
      <c r="C2" s="1" t="s">
        <v>549</v>
      </c>
      <c r="D2" s="2" t="s">
        <v>292</v>
      </c>
      <c r="E2" s="1" t="s">
        <v>21</v>
      </c>
      <c r="F2" s="12">
        <v>22</v>
      </c>
      <c r="G2" s="13"/>
      <c r="H2" s="11"/>
    </row>
    <row r="3" spans="1:8" ht="27.6" x14ac:dyDescent="0.3">
      <c r="A3">
        <v>1</v>
      </c>
      <c r="B3" s="1" t="s">
        <v>319</v>
      </c>
      <c r="C3" s="1" t="s">
        <v>549</v>
      </c>
      <c r="D3" s="2" t="s">
        <v>293</v>
      </c>
      <c r="E3" s="1" t="s">
        <v>21</v>
      </c>
      <c r="F3" s="12">
        <v>1</v>
      </c>
      <c r="G3" s="13">
        <v>615</v>
      </c>
      <c r="H3" s="11">
        <f>F3*G3</f>
        <v>615</v>
      </c>
    </row>
    <row r="4" spans="1:8" ht="41.4" x14ac:dyDescent="0.3">
      <c r="A4">
        <v>1</v>
      </c>
      <c r="B4" s="1" t="s">
        <v>319</v>
      </c>
      <c r="C4" s="1" t="s">
        <v>549</v>
      </c>
      <c r="D4" s="2" t="s">
        <v>294</v>
      </c>
      <c r="E4" s="1" t="s">
        <v>21</v>
      </c>
      <c r="F4" s="12">
        <v>10</v>
      </c>
      <c r="G4" s="13"/>
      <c r="H4" s="11"/>
    </row>
    <row r="5" spans="1:8" ht="27.6" x14ac:dyDescent="0.3">
      <c r="A5">
        <v>2</v>
      </c>
      <c r="B5" s="1" t="s">
        <v>319</v>
      </c>
      <c r="C5" s="1" t="s">
        <v>563</v>
      </c>
      <c r="D5" s="2" t="s">
        <v>295</v>
      </c>
      <c r="E5" s="1" t="s">
        <v>21</v>
      </c>
      <c r="F5" s="12">
        <v>11</v>
      </c>
      <c r="G5" s="13"/>
      <c r="H5" s="11"/>
    </row>
    <row r="6" spans="1:8" ht="27.6" x14ac:dyDescent="0.3">
      <c r="A6">
        <v>2</v>
      </c>
      <c r="B6" s="1" t="s">
        <v>319</v>
      </c>
      <c r="C6" s="1" t="s">
        <v>563</v>
      </c>
      <c r="D6" s="2" t="s">
        <v>296</v>
      </c>
      <c r="E6" s="1" t="s">
        <v>21</v>
      </c>
      <c r="F6" s="12">
        <v>11</v>
      </c>
      <c r="G6" s="13"/>
      <c r="H6" s="11"/>
    </row>
    <row r="7" spans="1:8" x14ac:dyDescent="0.3">
      <c r="A7">
        <v>2</v>
      </c>
      <c r="B7" s="1" t="s">
        <v>319</v>
      </c>
      <c r="C7" s="1" t="s">
        <v>563</v>
      </c>
      <c r="D7" s="2" t="s">
        <v>297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ht="27.6" x14ac:dyDescent="0.3">
      <c r="A8">
        <v>2</v>
      </c>
      <c r="B8" s="1" t="s">
        <v>319</v>
      </c>
      <c r="C8" s="1" t="s">
        <v>563</v>
      </c>
      <c r="D8" s="2" t="s">
        <v>298</v>
      </c>
      <c r="E8" s="1" t="s">
        <v>21</v>
      </c>
      <c r="F8" s="12">
        <v>11</v>
      </c>
      <c r="G8" s="13">
        <v>17</v>
      </c>
      <c r="H8" s="11">
        <f>F8*G8</f>
        <v>187</v>
      </c>
    </row>
    <row r="9" spans="1:8" x14ac:dyDescent="0.3">
      <c r="A9">
        <v>3</v>
      </c>
      <c r="B9" s="1" t="s">
        <v>319</v>
      </c>
      <c r="C9" s="1" t="s">
        <v>589</v>
      </c>
      <c r="D9" s="2" t="s">
        <v>299</v>
      </c>
      <c r="E9" s="1" t="s">
        <v>21</v>
      </c>
      <c r="F9" s="12">
        <v>6.3</v>
      </c>
      <c r="G9" s="13">
        <v>2.2200000000000002</v>
      </c>
      <c r="H9" s="11">
        <f>F9*G9</f>
        <v>13.986000000000001</v>
      </c>
    </row>
    <row r="10" spans="1:8" ht="27.6" x14ac:dyDescent="0.3">
      <c r="A10">
        <v>3</v>
      </c>
      <c r="B10" s="1" t="s">
        <v>319</v>
      </c>
      <c r="C10" s="1" t="s">
        <v>589</v>
      </c>
      <c r="D10" s="2" t="s">
        <v>300</v>
      </c>
      <c r="E10" s="1" t="s">
        <v>21</v>
      </c>
      <c r="F10" s="12">
        <v>6.72</v>
      </c>
      <c r="G10" s="13">
        <v>97.27000000000001</v>
      </c>
      <c r="H10" s="11">
        <f>F10*G10</f>
        <v>653.65440000000001</v>
      </c>
    </row>
    <row r="11" spans="1:8" ht="41.4" x14ac:dyDescent="0.3">
      <c r="A11">
        <v>3</v>
      </c>
      <c r="B11" s="1" t="s">
        <v>319</v>
      </c>
      <c r="C11" s="1" t="s">
        <v>589</v>
      </c>
      <c r="D11" s="2" t="s">
        <v>301</v>
      </c>
      <c r="E11" s="1" t="s">
        <v>21</v>
      </c>
      <c r="F11" s="12">
        <v>0.8</v>
      </c>
      <c r="G11" s="13">
        <v>15.72</v>
      </c>
      <c r="H11" s="11">
        <f>F11*G11</f>
        <v>12.576000000000001</v>
      </c>
    </row>
    <row r="12" spans="1:8" ht="27.6" x14ac:dyDescent="0.3">
      <c r="A12">
        <v>3</v>
      </c>
      <c r="B12" s="1" t="s">
        <v>319</v>
      </c>
      <c r="C12" s="1" t="s">
        <v>589</v>
      </c>
      <c r="D12" s="2" t="s">
        <v>302</v>
      </c>
      <c r="E12" s="1" t="s">
        <v>106</v>
      </c>
      <c r="F12" s="12">
        <v>15</v>
      </c>
      <c r="G12" s="13">
        <v>42.4</v>
      </c>
      <c r="H12" s="11">
        <f>F12*G12</f>
        <v>636</v>
      </c>
    </row>
    <row r="13" spans="1:8" x14ac:dyDescent="0.3">
      <c r="A13">
        <v>3</v>
      </c>
      <c r="B13" s="1" t="s">
        <v>319</v>
      </c>
      <c r="C13" s="1" t="s">
        <v>589</v>
      </c>
      <c r="D13" s="2" t="s">
        <v>303</v>
      </c>
      <c r="E13" s="1" t="s">
        <v>753</v>
      </c>
      <c r="F13" s="12">
        <v>32</v>
      </c>
      <c r="G13" s="13">
        <v>75</v>
      </c>
      <c r="H13" s="11">
        <f>F13*G13</f>
        <v>2400</v>
      </c>
    </row>
  </sheetData>
  <autoFilter ref="A1:G13" xr:uid="{49C4E761-839B-4CF0-9D27-8F3A138FF82B}"/>
  <conditionalFormatting sqref="B2:G13">
    <cfRule type="expression" dxfId="31" priority="1">
      <formula>$I2&gt;0</formula>
    </cfRule>
  </conditionalFormatting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5B0C6B-9D71-4A43-8C20-4C0DC8D8A76D}">
  <sheetPr codeName="Лист62"/>
  <dimension ref="A1:H8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1</v>
      </c>
      <c r="B2" s="1" t="s">
        <v>340</v>
      </c>
      <c r="C2" s="1" t="s">
        <v>702</v>
      </c>
      <c r="D2" s="2" t="s">
        <v>321</v>
      </c>
      <c r="E2" s="1" t="s">
        <v>21</v>
      </c>
      <c r="F2" s="12">
        <v>1</v>
      </c>
      <c r="G2" s="13">
        <v>615</v>
      </c>
      <c r="H2" s="11">
        <f>F2*G2</f>
        <v>615</v>
      </c>
    </row>
    <row r="3" spans="1:8" ht="27.6" x14ac:dyDescent="0.3">
      <c r="A3">
        <v>1</v>
      </c>
      <c r="B3" s="1" t="s">
        <v>340</v>
      </c>
      <c r="C3" s="1" t="s">
        <v>702</v>
      </c>
      <c r="D3" s="2" t="s">
        <v>190</v>
      </c>
      <c r="E3" s="1" t="s">
        <v>21</v>
      </c>
      <c r="F3" s="12">
        <v>51</v>
      </c>
      <c r="G3" s="13"/>
      <c r="H3" s="11"/>
    </row>
    <row r="4" spans="1:8" x14ac:dyDescent="0.3">
      <c r="A4">
        <v>2</v>
      </c>
      <c r="B4" s="1" t="s">
        <v>340</v>
      </c>
      <c r="C4" s="1" t="s">
        <v>703</v>
      </c>
      <c r="D4" s="2" t="s">
        <v>322</v>
      </c>
      <c r="E4" s="1" t="s">
        <v>753</v>
      </c>
      <c r="F4" s="12">
        <v>174</v>
      </c>
      <c r="G4" s="13">
        <v>24</v>
      </c>
      <c r="H4" s="11">
        <f>F4*G4</f>
        <v>4176</v>
      </c>
    </row>
    <row r="5" spans="1:8" x14ac:dyDescent="0.3">
      <c r="A5">
        <v>2</v>
      </c>
      <c r="B5" s="1" t="s">
        <v>340</v>
      </c>
      <c r="C5" s="1" t="s">
        <v>703</v>
      </c>
      <c r="D5" s="2" t="s">
        <v>323</v>
      </c>
      <c r="E5" s="1" t="s">
        <v>44</v>
      </c>
      <c r="F5" s="12">
        <v>2</v>
      </c>
      <c r="G5" s="13">
        <v>8.1999999999999993</v>
      </c>
      <c r="H5" s="11">
        <f>F5*G5</f>
        <v>16.399999999999999</v>
      </c>
    </row>
    <row r="6" spans="1:8" ht="27.6" x14ac:dyDescent="0.3">
      <c r="A6">
        <v>2</v>
      </c>
      <c r="B6" s="1" t="s">
        <v>340</v>
      </c>
      <c r="C6" s="1" t="s">
        <v>703</v>
      </c>
      <c r="D6" s="2" t="s">
        <v>324</v>
      </c>
      <c r="E6" s="1" t="s">
        <v>753</v>
      </c>
      <c r="F6" s="12">
        <v>6</v>
      </c>
      <c r="G6" s="13">
        <v>24</v>
      </c>
      <c r="H6" s="11">
        <f>F6*G6</f>
        <v>144</v>
      </c>
    </row>
    <row r="7" spans="1:8" x14ac:dyDescent="0.3">
      <c r="A7">
        <v>3</v>
      </c>
      <c r="B7" s="1" t="s">
        <v>340</v>
      </c>
      <c r="C7" s="1" t="s">
        <v>598</v>
      </c>
      <c r="D7" s="2" t="s">
        <v>93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x14ac:dyDescent="0.3">
      <c r="A8">
        <v>3</v>
      </c>
      <c r="B8" s="1" t="s">
        <v>340</v>
      </c>
      <c r="C8" s="1" t="s">
        <v>598</v>
      </c>
      <c r="D8" s="2" t="s">
        <v>325</v>
      </c>
      <c r="E8" s="1" t="s">
        <v>21</v>
      </c>
      <c r="F8" s="12">
        <v>51</v>
      </c>
      <c r="G8" s="13"/>
      <c r="H8" s="11"/>
    </row>
  </sheetData>
  <autoFilter ref="A1:G8" xr:uid="{49C4E761-839B-4CF0-9D27-8F3A138FF82B}"/>
  <conditionalFormatting sqref="B2:G8">
    <cfRule type="expression" dxfId="30" priority="1">
      <formula>$I2&gt;0</formula>
    </cfRule>
  </conditionalFormatting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D5BED-A421-416B-A4CD-6A550375B291}">
  <sheetPr codeName="Лист63"/>
  <dimension ref="A1:H8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1</v>
      </c>
      <c r="B2" s="1" t="s">
        <v>341</v>
      </c>
      <c r="C2" s="1" t="s">
        <v>704</v>
      </c>
      <c r="D2" s="2" t="s">
        <v>321</v>
      </c>
      <c r="E2" s="1" t="s">
        <v>21</v>
      </c>
      <c r="F2" s="12">
        <v>1</v>
      </c>
      <c r="G2" s="13">
        <v>615</v>
      </c>
      <c r="H2" s="11">
        <f>F2*G2</f>
        <v>615</v>
      </c>
    </row>
    <row r="3" spans="1:8" ht="27.6" x14ac:dyDescent="0.3">
      <c r="A3">
        <v>1</v>
      </c>
      <c r="B3" s="1" t="s">
        <v>341</v>
      </c>
      <c r="C3" s="1" t="s">
        <v>704</v>
      </c>
      <c r="D3" s="2" t="s">
        <v>190</v>
      </c>
      <c r="E3" s="1" t="s">
        <v>21</v>
      </c>
      <c r="F3" s="12">
        <v>51</v>
      </c>
      <c r="G3" s="13"/>
      <c r="H3" s="11"/>
    </row>
    <row r="4" spans="1:8" x14ac:dyDescent="0.3">
      <c r="A4">
        <v>3</v>
      </c>
      <c r="B4" s="1" t="s">
        <v>341</v>
      </c>
      <c r="C4" s="1" t="s">
        <v>705</v>
      </c>
      <c r="D4" s="2" t="s">
        <v>322</v>
      </c>
      <c r="E4" s="1" t="s">
        <v>753</v>
      </c>
      <c r="F4" s="12">
        <v>174</v>
      </c>
      <c r="G4" s="13">
        <v>24</v>
      </c>
      <c r="H4" s="11">
        <f>F4*G4</f>
        <v>4176</v>
      </c>
    </row>
    <row r="5" spans="1:8" x14ac:dyDescent="0.3">
      <c r="A5">
        <v>3</v>
      </c>
      <c r="B5" s="1" t="s">
        <v>341</v>
      </c>
      <c r="C5" s="1" t="s">
        <v>705</v>
      </c>
      <c r="D5" s="2" t="s">
        <v>323</v>
      </c>
      <c r="E5" s="1" t="s">
        <v>44</v>
      </c>
      <c r="F5" s="12">
        <v>2</v>
      </c>
      <c r="G5" s="13">
        <v>8.1999999999999993</v>
      </c>
      <c r="H5" s="11">
        <f>F5*G5</f>
        <v>16.399999999999999</v>
      </c>
    </row>
    <row r="6" spans="1:8" ht="27.6" x14ac:dyDescent="0.3">
      <c r="A6">
        <v>3</v>
      </c>
      <c r="B6" s="1" t="s">
        <v>341</v>
      </c>
      <c r="C6" s="1" t="s">
        <v>705</v>
      </c>
      <c r="D6" s="2" t="s">
        <v>324</v>
      </c>
      <c r="E6" s="1" t="s">
        <v>753</v>
      </c>
      <c r="F6" s="12">
        <v>6</v>
      </c>
      <c r="G6" s="13">
        <v>24</v>
      </c>
      <c r="H6" s="11">
        <f>F6*G6</f>
        <v>144</v>
      </c>
    </row>
    <row r="7" spans="1:8" x14ac:dyDescent="0.3">
      <c r="A7">
        <v>2</v>
      </c>
      <c r="B7" s="1" t="s">
        <v>341</v>
      </c>
      <c r="C7" s="1" t="s">
        <v>599</v>
      </c>
      <c r="D7" s="2" t="s">
        <v>93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x14ac:dyDescent="0.3">
      <c r="A8">
        <v>2</v>
      </c>
      <c r="B8" s="1" t="s">
        <v>341</v>
      </c>
      <c r="C8" s="1" t="s">
        <v>599</v>
      </c>
      <c r="D8" s="2" t="s">
        <v>325</v>
      </c>
      <c r="E8" s="1" t="s">
        <v>21</v>
      </c>
      <c r="F8" s="12">
        <v>51</v>
      </c>
      <c r="G8" s="13"/>
      <c r="H8" s="11"/>
    </row>
  </sheetData>
  <autoFilter ref="A1:G8" xr:uid="{49C4E761-839B-4CF0-9D27-8F3A138FF82B}"/>
  <conditionalFormatting sqref="B2:G8">
    <cfRule type="expression" dxfId="29" priority="1">
      <formula>$I2&gt;0</formula>
    </cfRule>
  </conditionalFormatting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8E261-84C3-4A95-BB97-28E5D694246E}">
  <sheetPr codeName="Лист64"/>
  <dimension ref="A1:H8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3</v>
      </c>
      <c r="B2" s="1" t="s">
        <v>342</v>
      </c>
      <c r="C2" s="1" t="s">
        <v>707</v>
      </c>
      <c r="D2" s="2" t="s">
        <v>321</v>
      </c>
      <c r="E2" s="1" t="s">
        <v>21</v>
      </c>
      <c r="F2" s="12">
        <v>1</v>
      </c>
      <c r="G2" s="13">
        <v>615</v>
      </c>
      <c r="H2" s="11">
        <f>F2*G2</f>
        <v>615</v>
      </c>
    </row>
    <row r="3" spans="1:8" ht="27.6" x14ac:dyDescent="0.3">
      <c r="A3">
        <v>3</v>
      </c>
      <c r="B3" s="1" t="s">
        <v>342</v>
      </c>
      <c r="C3" s="1" t="s">
        <v>707</v>
      </c>
      <c r="D3" s="2" t="s">
        <v>190</v>
      </c>
      <c r="E3" s="1" t="s">
        <v>21</v>
      </c>
      <c r="F3" s="12">
        <v>51</v>
      </c>
      <c r="G3" s="13"/>
      <c r="H3" s="11"/>
    </row>
    <row r="4" spans="1:8" x14ac:dyDescent="0.3">
      <c r="A4">
        <v>2</v>
      </c>
      <c r="B4" s="1" t="s">
        <v>342</v>
      </c>
      <c r="C4" s="1" t="s">
        <v>706</v>
      </c>
      <c r="D4" s="2" t="s">
        <v>322</v>
      </c>
      <c r="E4" s="1" t="s">
        <v>753</v>
      </c>
      <c r="F4" s="12">
        <v>174</v>
      </c>
      <c r="G4" s="13">
        <v>24</v>
      </c>
      <c r="H4" s="11">
        <f>F4*G4</f>
        <v>4176</v>
      </c>
    </row>
    <row r="5" spans="1:8" x14ac:dyDescent="0.3">
      <c r="A5">
        <v>2</v>
      </c>
      <c r="B5" s="1" t="s">
        <v>342</v>
      </c>
      <c r="C5" s="1" t="s">
        <v>706</v>
      </c>
      <c r="D5" s="2" t="s">
        <v>323</v>
      </c>
      <c r="E5" s="1" t="s">
        <v>44</v>
      </c>
      <c r="F5" s="12">
        <v>2</v>
      </c>
      <c r="G5" s="13">
        <v>8.1999999999999993</v>
      </c>
      <c r="H5" s="11">
        <f>F5*G5</f>
        <v>16.399999999999999</v>
      </c>
    </row>
    <row r="6" spans="1:8" ht="27.6" x14ac:dyDescent="0.3">
      <c r="A6">
        <v>2</v>
      </c>
      <c r="B6" s="1" t="s">
        <v>342</v>
      </c>
      <c r="C6" s="1" t="s">
        <v>706</v>
      </c>
      <c r="D6" s="2" t="s">
        <v>324</v>
      </c>
      <c r="E6" s="1" t="s">
        <v>753</v>
      </c>
      <c r="F6" s="12">
        <v>6</v>
      </c>
      <c r="G6" s="13">
        <v>24</v>
      </c>
      <c r="H6" s="11">
        <f>F6*G6</f>
        <v>144</v>
      </c>
    </row>
    <row r="7" spans="1:8" x14ac:dyDescent="0.3">
      <c r="A7">
        <v>1</v>
      </c>
      <c r="B7" s="1" t="s">
        <v>342</v>
      </c>
      <c r="C7" s="1" t="s">
        <v>600</v>
      </c>
      <c r="D7" s="2" t="s">
        <v>93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x14ac:dyDescent="0.3">
      <c r="A8">
        <v>1</v>
      </c>
      <c r="B8" s="1" t="s">
        <v>342</v>
      </c>
      <c r="C8" s="1" t="s">
        <v>600</v>
      </c>
      <c r="D8" s="2" t="s">
        <v>325</v>
      </c>
      <c r="E8" s="1" t="s">
        <v>21</v>
      </c>
      <c r="F8" s="12">
        <v>51</v>
      </c>
      <c r="G8" s="13"/>
      <c r="H8" s="11"/>
    </row>
  </sheetData>
  <autoFilter ref="A1:G8" xr:uid="{49C4E761-839B-4CF0-9D27-8F3A138FF82B}"/>
  <conditionalFormatting sqref="B2:G8">
    <cfRule type="expression" dxfId="28" priority="1">
      <formula>$I2&gt;0</formula>
    </cfRule>
  </conditionalFormatting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C6A14-E3CB-4A36-B781-8D5DAD876FFD}">
  <sheetPr codeName="Лист65"/>
  <dimension ref="A1:H8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343</v>
      </c>
      <c r="C2" s="1" t="s">
        <v>592</v>
      </c>
      <c r="D2" s="2" t="s">
        <v>321</v>
      </c>
      <c r="E2" s="1" t="s">
        <v>21</v>
      </c>
      <c r="F2" s="12">
        <v>1</v>
      </c>
      <c r="G2" s="13">
        <v>615</v>
      </c>
      <c r="H2" s="11">
        <f>F2*G2</f>
        <v>615</v>
      </c>
    </row>
    <row r="3" spans="1:8" ht="27.6" x14ac:dyDescent="0.3">
      <c r="A3">
        <v>2</v>
      </c>
      <c r="B3" s="1" t="s">
        <v>343</v>
      </c>
      <c r="C3" s="1" t="s">
        <v>592</v>
      </c>
      <c r="D3" s="2" t="s">
        <v>190</v>
      </c>
      <c r="E3" s="1" t="s">
        <v>21</v>
      </c>
      <c r="F3" s="12">
        <v>51</v>
      </c>
      <c r="G3" s="13"/>
      <c r="H3" s="11"/>
    </row>
    <row r="4" spans="1:8" x14ac:dyDescent="0.3">
      <c r="A4">
        <v>3</v>
      </c>
      <c r="B4" s="1" t="s">
        <v>343</v>
      </c>
      <c r="C4" s="1" t="s">
        <v>708</v>
      </c>
      <c r="D4" s="2" t="s">
        <v>322</v>
      </c>
      <c r="E4" s="1" t="s">
        <v>753</v>
      </c>
      <c r="F4" s="12">
        <v>174</v>
      </c>
      <c r="G4" s="13">
        <v>24</v>
      </c>
      <c r="H4" s="11">
        <f>F4*G4</f>
        <v>4176</v>
      </c>
    </row>
    <row r="5" spans="1:8" x14ac:dyDescent="0.3">
      <c r="A5">
        <v>3</v>
      </c>
      <c r="B5" s="1" t="s">
        <v>343</v>
      </c>
      <c r="C5" s="1" t="s">
        <v>708</v>
      </c>
      <c r="D5" s="2" t="s">
        <v>323</v>
      </c>
      <c r="E5" s="1" t="s">
        <v>44</v>
      </c>
      <c r="F5" s="12">
        <v>2</v>
      </c>
      <c r="G5" s="13">
        <v>8.1999999999999993</v>
      </c>
      <c r="H5" s="11">
        <f>F5*G5</f>
        <v>16.399999999999999</v>
      </c>
    </row>
    <row r="6" spans="1:8" ht="27.6" x14ac:dyDescent="0.3">
      <c r="A6">
        <v>3</v>
      </c>
      <c r="B6" s="1" t="s">
        <v>343</v>
      </c>
      <c r="C6" s="1" t="s">
        <v>708</v>
      </c>
      <c r="D6" s="2" t="s">
        <v>324</v>
      </c>
      <c r="E6" s="1" t="s">
        <v>753</v>
      </c>
      <c r="F6" s="12">
        <v>6</v>
      </c>
      <c r="G6" s="13">
        <v>24</v>
      </c>
      <c r="H6" s="11">
        <f>F6*G6</f>
        <v>144</v>
      </c>
    </row>
    <row r="7" spans="1:8" x14ac:dyDescent="0.3">
      <c r="A7">
        <v>1</v>
      </c>
      <c r="B7" s="1" t="s">
        <v>343</v>
      </c>
      <c r="C7" s="1" t="s">
        <v>601</v>
      </c>
      <c r="D7" s="2" t="s">
        <v>93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x14ac:dyDescent="0.3">
      <c r="A8">
        <v>1</v>
      </c>
      <c r="B8" s="1" t="s">
        <v>343</v>
      </c>
      <c r="C8" s="1" t="s">
        <v>601</v>
      </c>
      <c r="D8" s="2" t="s">
        <v>325</v>
      </c>
      <c r="E8" s="1" t="s">
        <v>21</v>
      </c>
      <c r="F8" s="12">
        <v>51</v>
      </c>
      <c r="G8" s="13"/>
      <c r="H8" s="11"/>
    </row>
  </sheetData>
  <autoFilter ref="A1:G8" xr:uid="{49C4E761-839B-4CF0-9D27-8F3A138FF82B}"/>
  <conditionalFormatting sqref="B2:G8">
    <cfRule type="expression" dxfId="27" priority="1">
      <formula>$I2&gt;0</formula>
    </cfRule>
  </conditionalFormatting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4C054-51BC-4C16-AD51-EFF45C5208E1}">
  <sheetPr codeName="Лист66"/>
  <dimension ref="A1:H8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3</v>
      </c>
      <c r="B2" s="1" t="s">
        <v>344</v>
      </c>
      <c r="C2" s="1" t="s">
        <v>710</v>
      </c>
      <c r="D2" s="2" t="s">
        <v>321</v>
      </c>
      <c r="E2" s="1" t="s">
        <v>21</v>
      </c>
      <c r="F2" s="12">
        <v>1</v>
      </c>
      <c r="G2" s="13">
        <v>615</v>
      </c>
      <c r="H2" s="11">
        <f>F2*G2</f>
        <v>615</v>
      </c>
    </row>
    <row r="3" spans="1:8" ht="27.6" x14ac:dyDescent="0.3">
      <c r="A3">
        <v>3</v>
      </c>
      <c r="B3" s="1" t="s">
        <v>344</v>
      </c>
      <c r="C3" s="1" t="s">
        <v>710</v>
      </c>
      <c r="D3" s="2" t="s">
        <v>190</v>
      </c>
      <c r="E3" s="1" t="s">
        <v>21</v>
      </c>
      <c r="F3" s="12">
        <v>51</v>
      </c>
      <c r="G3" s="13"/>
      <c r="H3" s="11"/>
    </row>
    <row r="4" spans="1:8" x14ac:dyDescent="0.3">
      <c r="A4">
        <v>2</v>
      </c>
      <c r="B4" s="1" t="s">
        <v>344</v>
      </c>
      <c r="C4" s="1" t="s">
        <v>709</v>
      </c>
      <c r="D4" s="2" t="s">
        <v>322</v>
      </c>
      <c r="E4" s="1" t="s">
        <v>753</v>
      </c>
      <c r="F4" s="12">
        <v>174</v>
      </c>
      <c r="G4" s="13">
        <v>24</v>
      </c>
      <c r="H4" s="11">
        <f>F4*G4</f>
        <v>4176</v>
      </c>
    </row>
    <row r="5" spans="1:8" x14ac:dyDescent="0.3">
      <c r="A5">
        <v>2</v>
      </c>
      <c r="B5" s="1" t="s">
        <v>344</v>
      </c>
      <c r="C5" s="1" t="s">
        <v>709</v>
      </c>
      <c r="D5" s="2" t="s">
        <v>323</v>
      </c>
      <c r="E5" s="1" t="s">
        <v>44</v>
      </c>
      <c r="F5" s="12">
        <v>2</v>
      </c>
      <c r="G5" s="13">
        <v>8.1999999999999993</v>
      </c>
      <c r="H5" s="11">
        <f>F5*G5</f>
        <v>16.399999999999999</v>
      </c>
    </row>
    <row r="6" spans="1:8" ht="27.6" x14ac:dyDescent="0.3">
      <c r="A6">
        <v>2</v>
      </c>
      <c r="B6" s="1" t="s">
        <v>344</v>
      </c>
      <c r="C6" s="1" t="s">
        <v>709</v>
      </c>
      <c r="D6" s="2" t="s">
        <v>324</v>
      </c>
      <c r="E6" s="1" t="s">
        <v>753</v>
      </c>
      <c r="F6" s="12">
        <v>6</v>
      </c>
      <c r="G6" s="13">
        <v>24</v>
      </c>
      <c r="H6" s="11">
        <f>F6*G6</f>
        <v>144</v>
      </c>
    </row>
    <row r="7" spans="1:8" x14ac:dyDescent="0.3">
      <c r="A7">
        <v>1</v>
      </c>
      <c r="B7" s="1" t="s">
        <v>344</v>
      </c>
      <c r="C7" s="1" t="s">
        <v>591</v>
      </c>
      <c r="D7" s="2" t="s">
        <v>93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x14ac:dyDescent="0.3">
      <c r="A8">
        <v>1</v>
      </c>
      <c r="B8" s="1" t="s">
        <v>344</v>
      </c>
      <c r="C8" s="1" t="s">
        <v>591</v>
      </c>
      <c r="D8" s="2" t="s">
        <v>325</v>
      </c>
      <c r="E8" s="1" t="s">
        <v>21</v>
      </c>
      <c r="F8" s="12">
        <v>51</v>
      </c>
      <c r="G8" s="13"/>
      <c r="H8" s="11"/>
    </row>
  </sheetData>
  <autoFilter ref="A1:G8" xr:uid="{49C4E761-839B-4CF0-9D27-8F3A138FF82B}"/>
  <conditionalFormatting sqref="B2:G8">
    <cfRule type="expression" dxfId="26" priority="1">
      <formula>$I2&gt;0</formula>
    </cfRule>
  </conditionalFormatting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8F457-9781-452C-A05C-952891F16DDC}">
  <sheetPr codeName="Лист67"/>
  <dimension ref="A1:H8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3</v>
      </c>
      <c r="B2" s="1" t="s">
        <v>320</v>
      </c>
      <c r="C2" s="1" t="s">
        <v>712</v>
      </c>
      <c r="D2" s="2" t="s">
        <v>321</v>
      </c>
      <c r="E2" s="1" t="s">
        <v>21</v>
      </c>
      <c r="F2" s="12">
        <v>1</v>
      </c>
      <c r="G2" s="13">
        <v>615</v>
      </c>
      <c r="H2" s="11">
        <f>F2*G2</f>
        <v>615</v>
      </c>
    </row>
    <row r="3" spans="1:8" ht="27.6" x14ac:dyDescent="0.3">
      <c r="A3">
        <v>3</v>
      </c>
      <c r="B3" s="1" t="s">
        <v>320</v>
      </c>
      <c r="C3" s="1" t="s">
        <v>712</v>
      </c>
      <c r="D3" s="2" t="s">
        <v>190</v>
      </c>
      <c r="E3" s="1" t="s">
        <v>21</v>
      </c>
      <c r="F3" s="12">
        <v>86</v>
      </c>
      <c r="G3" s="13"/>
      <c r="H3" s="11"/>
    </row>
    <row r="4" spans="1:8" x14ac:dyDescent="0.3">
      <c r="A4">
        <v>2</v>
      </c>
      <c r="B4" s="1" t="s">
        <v>320</v>
      </c>
      <c r="C4" s="1" t="s">
        <v>711</v>
      </c>
      <c r="D4" s="2" t="s">
        <v>322</v>
      </c>
      <c r="E4" s="1" t="s">
        <v>753</v>
      </c>
      <c r="F4" s="12">
        <v>174</v>
      </c>
      <c r="G4" s="13">
        <v>24</v>
      </c>
      <c r="H4" s="11">
        <f>F4*G4</f>
        <v>4176</v>
      </c>
    </row>
    <row r="5" spans="1:8" x14ac:dyDescent="0.3">
      <c r="A5">
        <v>2</v>
      </c>
      <c r="B5" s="1" t="s">
        <v>320</v>
      </c>
      <c r="C5" s="1" t="s">
        <v>711</v>
      </c>
      <c r="D5" s="2" t="s">
        <v>323</v>
      </c>
      <c r="E5" s="1" t="s">
        <v>44</v>
      </c>
      <c r="F5" s="12">
        <v>2</v>
      </c>
      <c r="G5" s="13">
        <v>8.1999999999999993</v>
      </c>
      <c r="H5" s="11">
        <f>F5*G5</f>
        <v>16.399999999999999</v>
      </c>
    </row>
    <row r="6" spans="1:8" ht="27.6" x14ac:dyDescent="0.3">
      <c r="A6">
        <v>2</v>
      </c>
      <c r="B6" s="1" t="s">
        <v>320</v>
      </c>
      <c r="C6" s="1" t="s">
        <v>711</v>
      </c>
      <c r="D6" s="2" t="s">
        <v>324</v>
      </c>
      <c r="E6" s="1" t="s">
        <v>753</v>
      </c>
      <c r="F6" s="12">
        <v>6</v>
      </c>
      <c r="G6" s="13">
        <v>24</v>
      </c>
      <c r="H6" s="11">
        <f>F6*G6</f>
        <v>144</v>
      </c>
    </row>
    <row r="7" spans="1:8" x14ac:dyDescent="0.3">
      <c r="A7">
        <v>1</v>
      </c>
      <c r="B7" s="1" t="s">
        <v>320</v>
      </c>
      <c r="C7" s="1" t="s">
        <v>593</v>
      </c>
      <c r="D7" s="2" t="s">
        <v>93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x14ac:dyDescent="0.3">
      <c r="A8">
        <v>1</v>
      </c>
      <c r="B8" s="1" t="s">
        <v>320</v>
      </c>
      <c r="C8" s="1" t="s">
        <v>593</v>
      </c>
      <c r="D8" s="2" t="s">
        <v>325</v>
      </c>
      <c r="E8" s="1" t="s">
        <v>21</v>
      </c>
      <c r="F8" s="12">
        <v>86</v>
      </c>
      <c r="G8" s="13"/>
      <c r="H8" s="11"/>
    </row>
  </sheetData>
  <autoFilter ref="A1:G8" xr:uid="{49C4E761-839B-4CF0-9D27-8F3A138FF82B}"/>
  <conditionalFormatting sqref="B2:G8">
    <cfRule type="expression" dxfId="25" priority="1">
      <formula>$I2&gt;0</formula>
    </cfRule>
  </conditionalFormatting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D6F12-045C-4C62-A874-994490F7CEE6}">
  <sheetPr codeName="Лист68"/>
  <dimension ref="A1:H8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3</v>
      </c>
      <c r="B2" s="1" t="s">
        <v>326</v>
      </c>
      <c r="C2" s="1" t="s">
        <v>714</v>
      </c>
      <c r="D2" s="2" t="s">
        <v>321</v>
      </c>
      <c r="E2" s="1" t="s">
        <v>21</v>
      </c>
      <c r="F2" s="12">
        <v>1</v>
      </c>
      <c r="G2" s="13">
        <v>615</v>
      </c>
      <c r="H2" s="11">
        <f>F2*G2</f>
        <v>615</v>
      </c>
    </row>
    <row r="3" spans="1:8" ht="27.6" x14ac:dyDescent="0.3">
      <c r="A3">
        <v>3</v>
      </c>
      <c r="B3" s="1" t="s">
        <v>326</v>
      </c>
      <c r="C3" s="1" t="s">
        <v>714</v>
      </c>
      <c r="D3" s="2" t="s">
        <v>190</v>
      </c>
      <c r="E3" s="1" t="s">
        <v>21</v>
      </c>
      <c r="F3" s="12">
        <v>69</v>
      </c>
      <c r="G3" s="13"/>
      <c r="H3" s="11"/>
    </row>
    <row r="4" spans="1:8" x14ac:dyDescent="0.3">
      <c r="A4">
        <v>2</v>
      </c>
      <c r="B4" s="1" t="s">
        <v>326</v>
      </c>
      <c r="C4" s="1" t="s">
        <v>713</v>
      </c>
      <c r="D4" s="2" t="s">
        <v>322</v>
      </c>
      <c r="E4" s="1" t="s">
        <v>753</v>
      </c>
      <c r="F4" s="12">
        <v>174</v>
      </c>
      <c r="G4" s="13">
        <v>24</v>
      </c>
      <c r="H4" s="11">
        <f>F4*G4</f>
        <v>4176</v>
      </c>
    </row>
    <row r="5" spans="1:8" x14ac:dyDescent="0.3">
      <c r="A5">
        <v>2</v>
      </c>
      <c r="B5" s="1" t="s">
        <v>326</v>
      </c>
      <c r="C5" s="1" t="s">
        <v>713</v>
      </c>
      <c r="D5" s="2" t="s">
        <v>323</v>
      </c>
      <c r="E5" s="1" t="s">
        <v>44</v>
      </c>
      <c r="F5" s="12">
        <v>2</v>
      </c>
      <c r="G5" s="13">
        <v>8.1999999999999993</v>
      </c>
      <c r="H5" s="11">
        <f>F5*G5</f>
        <v>16.399999999999999</v>
      </c>
    </row>
    <row r="6" spans="1:8" ht="27.6" x14ac:dyDescent="0.3">
      <c r="A6">
        <v>2</v>
      </c>
      <c r="B6" s="1" t="s">
        <v>326</v>
      </c>
      <c r="C6" s="1" t="s">
        <v>713</v>
      </c>
      <c r="D6" s="2" t="s">
        <v>324</v>
      </c>
      <c r="E6" s="1" t="s">
        <v>753</v>
      </c>
      <c r="F6" s="12">
        <v>6</v>
      </c>
      <c r="G6" s="13">
        <v>24</v>
      </c>
      <c r="H6" s="11">
        <f>F6*G6</f>
        <v>144</v>
      </c>
    </row>
    <row r="7" spans="1:8" x14ac:dyDescent="0.3">
      <c r="A7">
        <v>1</v>
      </c>
      <c r="B7" s="1" t="s">
        <v>326</v>
      </c>
      <c r="C7" s="1" t="s">
        <v>602</v>
      </c>
      <c r="D7" s="2" t="s">
        <v>93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x14ac:dyDescent="0.3">
      <c r="A8">
        <v>1</v>
      </c>
      <c r="B8" s="1" t="s">
        <v>326</v>
      </c>
      <c r="C8" s="1" t="s">
        <v>602</v>
      </c>
      <c r="D8" s="2" t="s">
        <v>325</v>
      </c>
      <c r="E8" s="1" t="s">
        <v>21</v>
      </c>
      <c r="F8" s="12">
        <v>69</v>
      </c>
      <c r="G8" s="13"/>
      <c r="H8" s="11"/>
    </row>
  </sheetData>
  <autoFilter ref="A1:G8" xr:uid="{49C4E761-839B-4CF0-9D27-8F3A138FF82B}"/>
  <conditionalFormatting sqref="B2:G8">
    <cfRule type="expression" dxfId="24" priority="1">
      <formula>$I2&gt;0</formula>
    </cfRule>
  </conditionalFormatting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FA6EA-E2C2-48E5-AFF4-33172D6FAFEF}">
  <sheetPr codeName="Лист69"/>
  <dimension ref="A1:H8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3</v>
      </c>
      <c r="B2" s="1" t="s">
        <v>327</v>
      </c>
      <c r="C2" s="1" t="s">
        <v>716</v>
      </c>
      <c r="D2" s="2" t="s">
        <v>321</v>
      </c>
      <c r="E2" s="1" t="s">
        <v>21</v>
      </c>
      <c r="F2" s="12">
        <v>1</v>
      </c>
      <c r="G2" s="13">
        <v>615</v>
      </c>
      <c r="H2" s="11">
        <f>F2*G2</f>
        <v>615</v>
      </c>
    </row>
    <row r="3" spans="1:8" ht="27.6" x14ac:dyDescent="0.3">
      <c r="A3">
        <v>3</v>
      </c>
      <c r="B3" s="1" t="s">
        <v>327</v>
      </c>
      <c r="C3" s="1" t="s">
        <v>716</v>
      </c>
      <c r="D3" s="2" t="s">
        <v>190</v>
      </c>
      <c r="E3" s="1" t="s">
        <v>21</v>
      </c>
      <c r="F3" s="12">
        <v>51</v>
      </c>
      <c r="G3" s="13"/>
      <c r="H3" s="11"/>
    </row>
    <row r="4" spans="1:8" x14ac:dyDescent="0.3">
      <c r="A4">
        <v>2</v>
      </c>
      <c r="B4" s="1" t="s">
        <v>327</v>
      </c>
      <c r="C4" s="1" t="s">
        <v>715</v>
      </c>
      <c r="D4" s="2" t="s">
        <v>322</v>
      </c>
      <c r="E4" s="1" t="s">
        <v>753</v>
      </c>
      <c r="F4" s="12">
        <v>174</v>
      </c>
      <c r="G4" s="13">
        <v>24</v>
      </c>
      <c r="H4" s="11">
        <f>F4*G4</f>
        <v>4176</v>
      </c>
    </row>
    <row r="5" spans="1:8" x14ac:dyDescent="0.3">
      <c r="A5">
        <v>2</v>
      </c>
      <c r="B5" s="1" t="s">
        <v>327</v>
      </c>
      <c r="C5" s="1" t="s">
        <v>715</v>
      </c>
      <c r="D5" s="2" t="s">
        <v>323</v>
      </c>
      <c r="E5" s="1" t="s">
        <v>44</v>
      </c>
      <c r="F5" s="12">
        <v>2</v>
      </c>
      <c r="G5" s="13">
        <v>8.1999999999999993</v>
      </c>
      <c r="H5" s="11">
        <f>F5*G5</f>
        <v>16.399999999999999</v>
      </c>
    </row>
    <row r="6" spans="1:8" ht="27.6" x14ac:dyDescent="0.3">
      <c r="A6">
        <v>2</v>
      </c>
      <c r="B6" s="1" t="s">
        <v>327</v>
      </c>
      <c r="C6" s="1" t="s">
        <v>715</v>
      </c>
      <c r="D6" s="2" t="s">
        <v>324</v>
      </c>
      <c r="E6" s="1" t="s">
        <v>753</v>
      </c>
      <c r="F6" s="12">
        <v>6</v>
      </c>
      <c r="G6" s="13">
        <v>24</v>
      </c>
      <c r="H6" s="11">
        <f>F6*G6</f>
        <v>144</v>
      </c>
    </row>
    <row r="7" spans="1:8" x14ac:dyDescent="0.3">
      <c r="A7">
        <v>1</v>
      </c>
      <c r="B7" s="1" t="s">
        <v>327</v>
      </c>
      <c r="C7" s="1" t="s">
        <v>603</v>
      </c>
      <c r="D7" s="2" t="s">
        <v>93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x14ac:dyDescent="0.3">
      <c r="A8">
        <v>1</v>
      </c>
      <c r="B8" s="1" t="s">
        <v>327</v>
      </c>
      <c r="C8" s="1" t="s">
        <v>603</v>
      </c>
      <c r="D8" s="2" t="s">
        <v>325</v>
      </c>
      <c r="E8" s="1" t="s">
        <v>21</v>
      </c>
      <c r="F8" s="12">
        <v>51</v>
      </c>
      <c r="G8" s="13"/>
      <c r="H8" s="11"/>
    </row>
  </sheetData>
  <autoFilter ref="A1:G8" xr:uid="{49C4E761-839B-4CF0-9D27-8F3A138FF82B}"/>
  <conditionalFormatting sqref="B2:G8">
    <cfRule type="expression" dxfId="23" priority="1">
      <formula>$I2&gt;0</formula>
    </cfRule>
  </conditionalFormatting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9313E-39B0-4FCA-A4A3-BB1EFF9448D3}">
  <sheetPr codeName="Лист70"/>
  <dimension ref="A1:H5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1</v>
      </c>
      <c r="B2" s="1" t="s">
        <v>421</v>
      </c>
      <c r="C2" s="1" t="s">
        <v>717</v>
      </c>
      <c r="D2" s="2" t="s">
        <v>405</v>
      </c>
      <c r="E2" s="1" t="s">
        <v>44</v>
      </c>
      <c r="F2" s="12">
        <v>3</v>
      </c>
      <c r="G2" s="13">
        <v>0.66999999999999993</v>
      </c>
      <c r="H2" s="11">
        <f>F2*G2</f>
        <v>2.0099999999999998</v>
      </c>
    </row>
    <row r="3" spans="1:8" ht="27.6" x14ac:dyDescent="0.3">
      <c r="A3">
        <v>1</v>
      </c>
      <c r="B3" s="1" t="s">
        <v>421</v>
      </c>
      <c r="C3" s="1" t="s">
        <v>717</v>
      </c>
      <c r="D3" s="2" t="s">
        <v>406</v>
      </c>
      <c r="E3" s="1" t="s">
        <v>44</v>
      </c>
      <c r="F3" s="12">
        <v>3</v>
      </c>
      <c r="G3" s="13">
        <v>0.66999999999999993</v>
      </c>
      <c r="H3" s="11">
        <f>F3*G3</f>
        <v>2.0099999999999998</v>
      </c>
    </row>
    <row r="4" spans="1:8" x14ac:dyDescent="0.3">
      <c r="A4">
        <v>1</v>
      </c>
      <c r="B4" s="1" t="s">
        <v>421</v>
      </c>
      <c r="C4" s="1" t="s">
        <v>717</v>
      </c>
      <c r="D4" s="2" t="s">
        <v>407</v>
      </c>
      <c r="E4" s="1" t="s">
        <v>44</v>
      </c>
      <c r="F4" s="12">
        <v>3</v>
      </c>
      <c r="G4" s="13">
        <v>1.1100000000000001</v>
      </c>
      <c r="H4" s="11">
        <f>F4*G4</f>
        <v>3.33</v>
      </c>
    </row>
    <row r="5" spans="1:8" x14ac:dyDescent="0.3">
      <c r="A5">
        <v>1</v>
      </c>
      <c r="B5" s="1" t="s">
        <v>421</v>
      </c>
      <c r="C5" s="1" t="s">
        <v>717</v>
      </c>
      <c r="D5" s="2" t="s">
        <v>408</v>
      </c>
      <c r="E5" s="1" t="s">
        <v>44</v>
      </c>
      <c r="F5" s="12">
        <v>2</v>
      </c>
      <c r="G5" s="13">
        <v>8.1999999999999993</v>
      </c>
      <c r="H5" s="11">
        <f>F5*G5</f>
        <v>16.399999999999999</v>
      </c>
    </row>
  </sheetData>
  <autoFilter ref="A1:G5" xr:uid="{49C4E761-839B-4CF0-9D27-8F3A138FF82B}"/>
  <conditionalFormatting sqref="B2:G5">
    <cfRule type="expression" dxfId="22" priority="1">
      <formula>$I2&gt;0</formula>
    </cfRule>
  </conditionalFormatting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847C1-7AA1-437A-BAA5-8E5F6DD7CE60}">
  <sheetPr codeName="Лист71"/>
  <dimension ref="A1:H6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1</v>
      </c>
      <c r="B2" s="1" t="s">
        <v>422</v>
      </c>
      <c r="C2" s="1" t="s">
        <v>718</v>
      </c>
      <c r="D2" s="2" t="s">
        <v>403</v>
      </c>
      <c r="E2" s="1" t="s">
        <v>19</v>
      </c>
      <c r="F2" s="12">
        <v>6</v>
      </c>
      <c r="G2" s="13">
        <v>8</v>
      </c>
      <c r="H2" s="11">
        <f>F2*G2</f>
        <v>48</v>
      </c>
    </row>
    <row r="3" spans="1:8" ht="27.6" x14ac:dyDescent="0.3">
      <c r="A3">
        <v>2</v>
      </c>
      <c r="B3" s="1" t="s">
        <v>422</v>
      </c>
      <c r="C3" s="1" t="s">
        <v>719</v>
      </c>
      <c r="D3" s="2" t="s">
        <v>405</v>
      </c>
      <c r="E3" s="1" t="s">
        <v>44</v>
      </c>
      <c r="F3" s="12">
        <v>3</v>
      </c>
      <c r="G3" s="13">
        <v>0.66999999999999993</v>
      </c>
      <c r="H3" s="11">
        <f>F3*G3</f>
        <v>2.0099999999999998</v>
      </c>
    </row>
    <row r="4" spans="1:8" ht="27.6" x14ac:dyDescent="0.3">
      <c r="A4">
        <v>2</v>
      </c>
      <c r="B4" s="1" t="s">
        <v>422</v>
      </c>
      <c r="C4" s="1" t="s">
        <v>719</v>
      </c>
      <c r="D4" s="2" t="s">
        <v>406</v>
      </c>
      <c r="E4" s="1" t="s">
        <v>44</v>
      </c>
      <c r="F4" s="12">
        <v>3</v>
      </c>
      <c r="G4" s="13">
        <v>0.66999999999999993</v>
      </c>
      <c r="H4" s="11">
        <f>F4*G4</f>
        <v>2.0099999999999998</v>
      </c>
    </row>
    <row r="5" spans="1:8" x14ac:dyDescent="0.3">
      <c r="A5">
        <v>2</v>
      </c>
      <c r="B5" s="1" t="s">
        <v>422</v>
      </c>
      <c r="C5" s="1" t="s">
        <v>719</v>
      </c>
      <c r="D5" s="2" t="s">
        <v>407</v>
      </c>
      <c r="E5" s="1" t="s">
        <v>44</v>
      </c>
      <c r="F5" s="12">
        <v>3</v>
      </c>
      <c r="G5" s="13">
        <v>1.1100000000000001</v>
      </c>
      <c r="H5" s="11">
        <f>F5*G5</f>
        <v>3.33</v>
      </c>
    </row>
    <row r="6" spans="1:8" x14ac:dyDescent="0.3">
      <c r="A6">
        <v>2</v>
      </c>
      <c r="B6" s="1" t="s">
        <v>422</v>
      </c>
      <c r="C6" s="1" t="s">
        <v>719</v>
      </c>
      <c r="D6" s="2" t="s">
        <v>408</v>
      </c>
      <c r="E6" s="1" t="s">
        <v>44</v>
      </c>
      <c r="F6" s="12">
        <v>2</v>
      </c>
      <c r="G6" s="13">
        <v>8.1999999999999993</v>
      </c>
      <c r="H6" s="11">
        <f>F6*G6</f>
        <v>16.399999999999999</v>
      </c>
    </row>
  </sheetData>
  <autoFilter ref="A1:G6" xr:uid="{49C4E761-839B-4CF0-9D27-8F3A138FF82B}"/>
  <conditionalFormatting sqref="B2:G6">
    <cfRule type="expression" dxfId="21" priority="1">
      <formula>$I2&gt;0</formula>
    </cfRule>
  </conditionalFormatting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88847-73E3-45D2-90BE-C4563721B5FC}">
  <sheetPr codeName="Лист72"/>
  <dimension ref="A1:H6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1</v>
      </c>
      <c r="B2" s="1" t="s">
        <v>423</v>
      </c>
      <c r="C2" s="1" t="s">
        <v>720</v>
      </c>
      <c r="D2" s="2" t="s">
        <v>403</v>
      </c>
      <c r="E2" s="1" t="s">
        <v>19</v>
      </c>
      <c r="F2" s="12">
        <v>6</v>
      </c>
      <c r="G2" s="13">
        <v>8</v>
      </c>
      <c r="H2" s="11">
        <f>F2*G2</f>
        <v>48</v>
      </c>
    </row>
    <row r="3" spans="1:8" ht="27.6" x14ac:dyDescent="0.3">
      <c r="A3">
        <v>2</v>
      </c>
      <c r="B3" s="1" t="s">
        <v>423</v>
      </c>
      <c r="C3" s="1" t="s">
        <v>721</v>
      </c>
      <c r="D3" s="2" t="s">
        <v>405</v>
      </c>
      <c r="E3" s="1" t="s">
        <v>44</v>
      </c>
      <c r="F3" s="12">
        <v>3</v>
      </c>
      <c r="G3" s="13">
        <v>0.66999999999999993</v>
      </c>
      <c r="H3" s="11">
        <f>F3*G3</f>
        <v>2.0099999999999998</v>
      </c>
    </row>
    <row r="4" spans="1:8" ht="27.6" x14ac:dyDescent="0.3">
      <c r="A4">
        <v>2</v>
      </c>
      <c r="B4" s="1" t="s">
        <v>423</v>
      </c>
      <c r="C4" s="1" t="s">
        <v>721</v>
      </c>
      <c r="D4" s="2" t="s">
        <v>406</v>
      </c>
      <c r="E4" s="1" t="s">
        <v>44</v>
      </c>
      <c r="F4" s="12">
        <v>3</v>
      </c>
      <c r="G4" s="13">
        <v>0.66999999999999993</v>
      </c>
      <c r="H4" s="11">
        <f>F4*G4</f>
        <v>2.0099999999999998</v>
      </c>
    </row>
    <row r="5" spans="1:8" x14ac:dyDescent="0.3">
      <c r="A5">
        <v>2</v>
      </c>
      <c r="B5" s="1" t="s">
        <v>423</v>
      </c>
      <c r="C5" s="1" t="s">
        <v>721</v>
      </c>
      <c r="D5" s="2" t="s">
        <v>407</v>
      </c>
      <c r="E5" s="1" t="s">
        <v>44</v>
      </c>
      <c r="F5" s="12">
        <v>3</v>
      </c>
      <c r="G5" s="13">
        <v>1.1100000000000001</v>
      </c>
      <c r="H5" s="11">
        <f>F5*G5</f>
        <v>3.33</v>
      </c>
    </row>
    <row r="6" spans="1:8" x14ac:dyDescent="0.3">
      <c r="A6">
        <v>2</v>
      </c>
      <c r="B6" s="1" t="s">
        <v>423</v>
      </c>
      <c r="C6" s="1" t="s">
        <v>721</v>
      </c>
      <c r="D6" s="2" t="s">
        <v>408</v>
      </c>
      <c r="E6" s="1" t="s">
        <v>44</v>
      </c>
      <c r="F6" s="12">
        <v>2</v>
      </c>
      <c r="G6" s="13">
        <v>8.1999999999999993</v>
      </c>
      <c r="H6" s="11">
        <f>F6*G6</f>
        <v>16.399999999999999</v>
      </c>
    </row>
  </sheetData>
  <autoFilter ref="A1:G6" xr:uid="{49C4E761-839B-4CF0-9D27-8F3A138FF82B}"/>
  <conditionalFormatting sqref="B2:G6">
    <cfRule type="expression" dxfId="20" priority="1">
      <formula>$I2&gt;0</formula>
    </cfRule>
  </conditionalFormatting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3510D-B466-4C3C-97E9-64D34D77EE9E}">
  <sheetPr codeName="Лист73"/>
  <dimension ref="A1:H6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424</v>
      </c>
      <c r="C2" s="1" t="s">
        <v>723</v>
      </c>
      <c r="D2" s="2" t="s">
        <v>403</v>
      </c>
      <c r="E2" s="1" t="s">
        <v>19</v>
      </c>
      <c r="F2" s="12">
        <v>6</v>
      </c>
      <c r="G2" s="13">
        <v>8</v>
      </c>
      <c r="H2" s="11">
        <f>F2*G2</f>
        <v>48</v>
      </c>
    </row>
    <row r="3" spans="1:8" ht="27.6" x14ac:dyDescent="0.3">
      <c r="A3">
        <v>1</v>
      </c>
      <c r="B3" s="1" t="s">
        <v>424</v>
      </c>
      <c r="C3" s="1" t="s">
        <v>722</v>
      </c>
      <c r="D3" s="2" t="s">
        <v>405</v>
      </c>
      <c r="E3" s="1" t="s">
        <v>44</v>
      </c>
      <c r="F3" s="12">
        <v>3</v>
      </c>
      <c r="G3" s="13">
        <v>0.66999999999999993</v>
      </c>
      <c r="H3" s="11">
        <f>F3*G3</f>
        <v>2.0099999999999998</v>
      </c>
    </row>
    <row r="4" spans="1:8" ht="27.6" x14ac:dyDescent="0.3">
      <c r="A4">
        <v>1</v>
      </c>
      <c r="B4" s="1" t="s">
        <v>424</v>
      </c>
      <c r="C4" s="1" t="s">
        <v>722</v>
      </c>
      <c r="D4" s="2" t="s">
        <v>406</v>
      </c>
      <c r="E4" s="1" t="s">
        <v>44</v>
      </c>
      <c r="F4" s="12">
        <v>3</v>
      </c>
      <c r="G4" s="13">
        <v>0.66999999999999993</v>
      </c>
      <c r="H4" s="11">
        <f>F4*G4</f>
        <v>2.0099999999999998</v>
      </c>
    </row>
    <row r="5" spans="1:8" x14ac:dyDescent="0.3">
      <c r="A5">
        <v>1</v>
      </c>
      <c r="B5" s="1" t="s">
        <v>424</v>
      </c>
      <c r="C5" s="1" t="s">
        <v>722</v>
      </c>
      <c r="D5" s="2" t="s">
        <v>407</v>
      </c>
      <c r="E5" s="1" t="s">
        <v>44</v>
      </c>
      <c r="F5" s="12">
        <v>3</v>
      </c>
      <c r="G5" s="13">
        <v>1.1100000000000001</v>
      </c>
      <c r="H5" s="11">
        <f>F5*G5</f>
        <v>3.33</v>
      </c>
    </row>
    <row r="6" spans="1:8" x14ac:dyDescent="0.3">
      <c r="A6">
        <v>1</v>
      </c>
      <c r="B6" s="1" t="s">
        <v>424</v>
      </c>
      <c r="C6" s="1" t="s">
        <v>722</v>
      </c>
      <c r="D6" s="2" t="s">
        <v>408</v>
      </c>
      <c r="E6" s="1" t="s">
        <v>44</v>
      </c>
      <c r="F6" s="12">
        <v>2</v>
      </c>
      <c r="G6" s="13">
        <v>8.1999999999999993</v>
      </c>
      <c r="H6" s="11">
        <f>F6*G6</f>
        <v>16.399999999999999</v>
      </c>
    </row>
  </sheetData>
  <autoFilter ref="A1:G6" xr:uid="{49C4E761-839B-4CF0-9D27-8F3A138FF82B}"/>
  <conditionalFormatting sqref="B2:G6">
    <cfRule type="expression" dxfId="19" priority="1">
      <formula>$I2&gt;0</formula>
    </cfRule>
  </conditionalFormatting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C104B-B322-4160-9131-519076AC8B63}">
  <sheetPr codeName="Лист74"/>
  <dimension ref="A1:H6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1</v>
      </c>
      <c r="B2" s="1" t="s">
        <v>425</v>
      </c>
      <c r="C2" s="1" t="s">
        <v>724</v>
      </c>
      <c r="D2" s="2" t="s">
        <v>403</v>
      </c>
      <c r="E2" s="1" t="s">
        <v>19</v>
      </c>
      <c r="F2" s="12">
        <v>6</v>
      </c>
      <c r="G2" s="13">
        <v>8</v>
      </c>
      <c r="H2" s="11">
        <f>F2*G2</f>
        <v>48</v>
      </c>
    </row>
    <row r="3" spans="1:8" ht="27.6" x14ac:dyDescent="0.3">
      <c r="A3">
        <v>2</v>
      </c>
      <c r="B3" s="1" t="s">
        <v>425</v>
      </c>
      <c r="C3" s="1" t="s">
        <v>725</v>
      </c>
      <c r="D3" s="2" t="s">
        <v>405</v>
      </c>
      <c r="E3" s="1" t="s">
        <v>44</v>
      </c>
      <c r="F3" s="12">
        <v>3</v>
      </c>
      <c r="G3" s="13">
        <v>0.66999999999999993</v>
      </c>
      <c r="H3" s="11">
        <f>F3*G3</f>
        <v>2.0099999999999998</v>
      </c>
    </row>
    <row r="4" spans="1:8" ht="27.6" x14ac:dyDescent="0.3">
      <c r="A4">
        <v>2</v>
      </c>
      <c r="B4" s="1" t="s">
        <v>425</v>
      </c>
      <c r="C4" s="1" t="s">
        <v>725</v>
      </c>
      <c r="D4" s="2" t="s">
        <v>406</v>
      </c>
      <c r="E4" s="1" t="s">
        <v>44</v>
      </c>
      <c r="F4" s="12">
        <v>3</v>
      </c>
      <c r="G4" s="13">
        <v>0.66999999999999993</v>
      </c>
      <c r="H4" s="11">
        <f>F4*G4</f>
        <v>2.0099999999999998</v>
      </c>
    </row>
    <row r="5" spans="1:8" x14ac:dyDescent="0.3">
      <c r="A5">
        <v>2</v>
      </c>
      <c r="B5" s="1" t="s">
        <v>425</v>
      </c>
      <c r="C5" s="1" t="s">
        <v>725</v>
      </c>
      <c r="D5" s="2" t="s">
        <v>407</v>
      </c>
      <c r="E5" s="1" t="s">
        <v>44</v>
      </c>
      <c r="F5" s="12">
        <v>3</v>
      </c>
      <c r="G5" s="13">
        <v>1.1100000000000001</v>
      </c>
      <c r="H5" s="11">
        <f>F5*G5</f>
        <v>3.33</v>
      </c>
    </row>
    <row r="6" spans="1:8" x14ac:dyDescent="0.3">
      <c r="A6">
        <v>2</v>
      </c>
      <c r="B6" s="1" t="s">
        <v>425</v>
      </c>
      <c r="C6" s="1" t="s">
        <v>725</v>
      </c>
      <c r="D6" s="2" t="s">
        <v>408</v>
      </c>
      <c r="E6" s="1" t="s">
        <v>44</v>
      </c>
      <c r="F6" s="12">
        <v>2</v>
      </c>
      <c r="G6" s="13">
        <v>8.1999999999999993</v>
      </c>
      <c r="H6" s="11">
        <f>F6*G6</f>
        <v>16.399999999999999</v>
      </c>
    </row>
  </sheetData>
  <autoFilter ref="A1:G6" xr:uid="{49C4E761-839B-4CF0-9D27-8F3A138FF82B}"/>
  <conditionalFormatting sqref="B2:G6">
    <cfRule type="expression" dxfId="18" priority="1">
      <formula>$I2&gt;0</formula>
    </cfRule>
  </conditionalFormatting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7B16C-AA8C-4DA5-BE5B-6AD221D30305}">
  <sheetPr codeName="Лист75">
    <tabColor rgb="FF00B050"/>
  </sheetPr>
  <dimension ref="B1:H9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2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2:8" ht="41.4" x14ac:dyDescent="0.3">
      <c r="B2" s="1" t="s">
        <v>375</v>
      </c>
      <c r="C2" s="1" t="s">
        <v>376</v>
      </c>
      <c r="D2" s="2" t="s">
        <v>346</v>
      </c>
      <c r="E2" s="1" t="s">
        <v>21</v>
      </c>
      <c r="F2" s="12">
        <v>168</v>
      </c>
      <c r="G2" s="13"/>
      <c r="H2" s="11"/>
    </row>
    <row r="3" spans="2:8" ht="41.4" x14ac:dyDescent="0.3">
      <c r="B3" s="1" t="s">
        <v>375</v>
      </c>
      <c r="C3" s="1" t="s">
        <v>376</v>
      </c>
      <c r="D3" s="2" t="s">
        <v>361</v>
      </c>
      <c r="E3" s="1" t="s">
        <v>21</v>
      </c>
      <c r="F3" s="12">
        <v>162</v>
      </c>
      <c r="G3" s="13"/>
      <c r="H3" s="11"/>
    </row>
    <row r="4" spans="2:8" x14ac:dyDescent="0.3">
      <c r="B4" s="1" t="s">
        <v>375</v>
      </c>
      <c r="C4" s="1" t="s">
        <v>376</v>
      </c>
      <c r="D4" s="2" t="s">
        <v>79</v>
      </c>
      <c r="E4" s="1" t="s">
        <v>21</v>
      </c>
      <c r="F4" s="12">
        <v>162</v>
      </c>
      <c r="G4" s="13"/>
      <c r="H4" s="11"/>
    </row>
    <row r="5" spans="2:8" ht="27.6" x14ac:dyDescent="0.3">
      <c r="B5" s="1" t="s">
        <v>375</v>
      </c>
      <c r="C5" s="1" t="s">
        <v>377</v>
      </c>
      <c r="D5" s="2" t="s">
        <v>348</v>
      </c>
      <c r="E5" s="1" t="s">
        <v>21</v>
      </c>
      <c r="F5" s="12">
        <v>265</v>
      </c>
      <c r="G5" s="13"/>
      <c r="H5" s="11"/>
    </row>
    <row r="6" spans="2:8" ht="27.6" x14ac:dyDescent="0.3">
      <c r="B6" s="1" t="s">
        <v>375</v>
      </c>
      <c r="C6" s="1" t="s">
        <v>377</v>
      </c>
      <c r="D6" s="2" t="s">
        <v>349</v>
      </c>
      <c r="E6" s="1" t="s">
        <v>21</v>
      </c>
      <c r="F6" s="12">
        <v>265</v>
      </c>
      <c r="G6" s="13"/>
      <c r="H6" s="11"/>
    </row>
    <row r="7" spans="2:8" x14ac:dyDescent="0.3">
      <c r="B7" s="1" t="s">
        <v>375</v>
      </c>
      <c r="C7" s="1" t="s">
        <v>377</v>
      </c>
      <c r="D7" s="2" t="s">
        <v>350</v>
      </c>
      <c r="E7" s="1" t="s">
        <v>21</v>
      </c>
      <c r="F7" s="12">
        <v>265</v>
      </c>
      <c r="G7" s="13">
        <v>30</v>
      </c>
      <c r="H7" s="11">
        <f>F7*G7</f>
        <v>7950</v>
      </c>
    </row>
    <row r="8" spans="2:8" ht="27.6" x14ac:dyDescent="0.3">
      <c r="B8" s="1" t="s">
        <v>375</v>
      </c>
      <c r="C8" s="1" t="s">
        <v>377</v>
      </c>
      <c r="D8" s="2" t="s">
        <v>351</v>
      </c>
      <c r="E8" s="1" t="s">
        <v>106</v>
      </c>
      <c r="F8" s="12">
        <v>194</v>
      </c>
      <c r="G8" s="13">
        <v>2</v>
      </c>
      <c r="H8" s="11">
        <f>F8*G8</f>
        <v>388</v>
      </c>
    </row>
    <row r="9" spans="2:8" ht="27.6" x14ac:dyDescent="0.3">
      <c r="B9" s="1" t="s">
        <v>375</v>
      </c>
      <c r="C9" s="1" t="s">
        <v>378</v>
      </c>
      <c r="D9" s="2" t="s">
        <v>353</v>
      </c>
      <c r="E9" s="1" t="s">
        <v>106</v>
      </c>
      <c r="F9" s="12">
        <v>40</v>
      </c>
      <c r="G9" s="13"/>
      <c r="H9" s="11"/>
    </row>
  </sheetData>
  <autoFilter ref="A1:G9" xr:uid="{49C4E761-839B-4CF0-9D27-8F3A138FF82B}"/>
  <conditionalFormatting sqref="B2:G9">
    <cfRule type="expression" dxfId="17" priority="1">
      <formula>$I2&gt;0</formula>
    </cfRule>
  </conditionalFormatting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3D16C-1B5E-4E27-AFF2-372B2180E7E0}">
  <sheetPr codeName="Лист76">
    <tabColor rgb="FF00B050"/>
  </sheetPr>
  <dimension ref="B1:H14"/>
  <sheetViews>
    <sheetView topLeftCell="A7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2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2:8" ht="41.4" x14ac:dyDescent="0.3">
      <c r="B2" s="1" t="s">
        <v>370</v>
      </c>
      <c r="C2" s="1" t="s">
        <v>371</v>
      </c>
      <c r="D2" s="2" t="s">
        <v>346</v>
      </c>
      <c r="E2" s="1" t="s">
        <v>21</v>
      </c>
      <c r="F2" s="12">
        <v>104</v>
      </c>
      <c r="G2" s="13"/>
      <c r="H2" s="11"/>
    </row>
    <row r="3" spans="2:8" ht="41.4" x14ac:dyDescent="0.3">
      <c r="B3" s="1" t="s">
        <v>370</v>
      </c>
      <c r="C3" s="1" t="s">
        <v>371</v>
      </c>
      <c r="D3" s="2" t="s">
        <v>361</v>
      </c>
      <c r="E3" s="1" t="s">
        <v>21</v>
      </c>
      <c r="F3" s="12">
        <v>63</v>
      </c>
      <c r="G3" s="13"/>
      <c r="H3" s="11"/>
    </row>
    <row r="4" spans="2:8" x14ac:dyDescent="0.3">
      <c r="B4" s="1" t="s">
        <v>370</v>
      </c>
      <c r="C4" s="1" t="s">
        <v>371</v>
      </c>
      <c r="D4" s="2" t="s">
        <v>79</v>
      </c>
      <c r="E4" s="1" t="s">
        <v>21</v>
      </c>
      <c r="F4" s="12">
        <v>63</v>
      </c>
      <c r="G4" s="13"/>
      <c r="H4" s="11"/>
    </row>
    <row r="5" spans="2:8" ht="27.6" x14ac:dyDescent="0.3">
      <c r="B5" s="1" t="s">
        <v>370</v>
      </c>
      <c r="C5" s="1" t="s">
        <v>372</v>
      </c>
      <c r="D5" s="2" t="s">
        <v>348</v>
      </c>
      <c r="E5" s="1" t="s">
        <v>21</v>
      </c>
      <c r="F5" s="12">
        <v>267</v>
      </c>
      <c r="G5" s="13"/>
      <c r="H5" s="11"/>
    </row>
    <row r="6" spans="2:8" ht="27.6" x14ac:dyDescent="0.3">
      <c r="B6" s="1" t="s">
        <v>370</v>
      </c>
      <c r="C6" s="1" t="s">
        <v>372</v>
      </c>
      <c r="D6" s="2" t="s">
        <v>349</v>
      </c>
      <c r="E6" s="1" t="s">
        <v>21</v>
      </c>
      <c r="F6" s="12">
        <v>267</v>
      </c>
      <c r="G6" s="13"/>
      <c r="H6" s="11"/>
    </row>
    <row r="7" spans="2:8" x14ac:dyDescent="0.3">
      <c r="B7" s="1" t="s">
        <v>370</v>
      </c>
      <c r="C7" s="1" t="s">
        <v>372</v>
      </c>
      <c r="D7" s="2" t="s">
        <v>350</v>
      </c>
      <c r="E7" s="1" t="s">
        <v>21</v>
      </c>
      <c r="F7" s="12">
        <v>267</v>
      </c>
      <c r="G7" s="13">
        <v>30</v>
      </c>
      <c r="H7" s="11">
        <f>F7*G7</f>
        <v>8010</v>
      </c>
    </row>
    <row r="8" spans="2:8" ht="27.6" x14ac:dyDescent="0.3">
      <c r="B8" s="1" t="s">
        <v>370</v>
      </c>
      <c r="C8" s="1" t="s">
        <v>372</v>
      </c>
      <c r="D8" s="2" t="s">
        <v>351</v>
      </c>
      <c r="E8" s="1" t="s">
        <v>106</v>
      </c>
      <c r="F8" s="12">
        <v>220</v>
      </c>
      <c r="G8" s="13">
        <v>2</v>
      </c>
      <c r="H8" s="11">
        <f>F8*G8</f>
        <v>440</v>
      </c>
    </row>
    <row r="9" spans="2:8" ht="27.6" x14ac:dyDescent="0.3">
      <c r="B9" s="1" t="s">
        <v>370</v>
      </c>
      <c r="C9" s="1" t="s">
        <v>373</v>
      </c>
      <c r="D9" s="2" t="s">
        <v>353</v>
      </c>
      <c r="E9" s="1" t="s">
        <v>106</v>
      </c>
      <c r="F9" s="12">
        <v>66</v>
      </c>
      <c r="G9" s="13"/>
      <c r="H9" s="11"/>
    </row>
    <row r="10" spans="2:8" ht="27.6" x14ac:dyDescent="0.3">
      <c r="B10" s="1" t="s">
        <v>370</v>
      </c>
      <c r="C10" s="1" t="s">
        <v>374</v>
      </c>
      <c r="D10" s="2" t="s">
        <v>354</v>
      </c>
      <c r="E10" s="1" t="s">
        <v>21</v>
      </c>
      <c r="F10" s="12">
        <v>113</v>
      </c>
      <c r="G10" s="13"/>
      <c r="H10" s="11"/>
    </row>
    <row r="11" spans="2:8" ht="27.6" x14ac:dyDescent="0.3">
      <c r="B11" s="1" t="s">
        <v>370</v>
      </c>
      <c r="C11" s="1" t="s">
        <v>374</v>
      </c>
      <c r="D11" s="2" t="s">
        <v>355</v>
      </c>
      <c r="E11" s="1" t="s">
        <v>21</v>
      </c>
      <c r="F11" s="12">
        <v>113</v>
      </c>
      <c r="G11" s="13"/>
      <c r="H11" s="11"/>
    </row>
    <row r="12" spans="2:8" ht="27.6" x14ac:dyDescent="0.3">
      <c r="B12" s="1" t="s">
        <v>370</v>
      </c>
      <c r="C12" s="1" t="s">
        <v>374</v>
      </c>
      <c r="D12" s="2" t="s">
        <v>356</v>
      </c>
      <c r="E12" s="1" t="s">
        <v>21</v>
      </c>
      <c r="F12" s="12">
        <v>112.99999999999999</v>
      </c>
      <c r="G12" s="13">
        <v>17.000000000000004</v>
      </c>
      <c r="H12" s="11">
        <f>F12*G12</f>
        <v>1921.0000000000002</v>
      </c>
    </row>
    <row r="13" spans="2:8" ht="27.6" x14ac:dyDescent="0.3">
      <c r="B13" s="1" t="s">
        <v>370</v>
      </c>
      <c r="C13" s="1" t="s">
        <v>374</v>
      </c>
      <c r="D13" s="2" t="s">
        <v>357</v>
      </c>
      <c r="E13" s="1" t="s">
        <v>106</v>
      </c>
      <c r="F13" s="12">
        <v>252</v>
      </c>
      <c r="G13" s="13">
        <v>123</v>
      </c>
      <c r="H13" s="11">
        <f>F13*G13</f>
        <v>30996</v>
      </c>
    </row>
    <row r="14" spans="2:8" ht="27.6" x14ac:dyDescent="0.3">
      <c r="B14" s="1" t="s">
        <v>370</v>
      </c>
      <c r="C14" s="1" t="s">
        <v>374</v>
      </c>
      <c r="D14" s="2" t="s">
        <v>358</v>
      </c>
      <c r="E14" s="1" t="s">
        <v>106</v>
      </c>
      <c r="F14" s="12">
        <v>252</v>
      </c>
      <c r="G14" s="13">
        <v>33.199999999999996</v>
      </c>
      <c r="H14" s="11">
        <f>F14*G14</f>
        <v>8366.4</v>
      </c>
    </row>
  </sheetData>
  <autoFilter ref="A1:G14" xr:uid="{49C4E761-839B-4CF0-9D27-8F3A138FF82B}"/>
  <conditionalFormatting sqref="B2:G14">
    <cfRule type="expression" dxfId="16" priority="1">
      <formula>$I2&gt;0</formula>
    </cfRule>
  </conditionalFormatting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64A71-D7A9-46DF-B489-7E00D1490060}">
  <sheetPr codeName="Лист77">
    <tabColor rgb="FF00B050"/>
  </sheetPr>
  <dimension ref="B1:H14"/>
  <sheetViews>
    <sheetView topLeftCell="A4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2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2:8" ht="41.4" x14ac:dyDescent="0.3">
      <c r="B2" s="1" t="s">
        <v>365</v>
      </c>
      <c r="C2" s="1" t="s">
        <v>366</v>
      </c>
      <c r="D2" s="2" t="s">
        <v>346</v>
      </c>
      <c r="E2" s="1" t="s">
        <v>21</v>
      </c>
      <c r="F2" s="12">
        <v>93</v>
      </c>
      <c r="G2" s="13"/>
      <c r="H2" s="11"/>
    </row>
    <row r="3" spans="2:8" ht="41.4" x14ac:dyDescent="0.3">
      <c r="B3" s="1" t="s">
        <v>365</v>
      </c>
      <c r="C3" s="1" t="s">
        <v>366</v>
      </c>
      <c r="D3" s="2" t="s">
        <v>361</v>
      </c>
      <c r="E3" s="1" t="s">
        <v>21</v>
      </c>
      <c r="F3" s="12">
        <v>58</v>
      </c>
      <c r="G3" s="13"/>
      <c r="H3" s="11"/>
    </row>
    <row r="4" spans="2:8" x14ac:dyDescent="0.3">
      <c r="B4" s="1" t="s">
        <v>365</v>
      </c>
      <c r="C4" s="1" t="s">
        <v>366</v>
      </c>
      <c r="D4" s="2" t="s">
        <v>79</v>
      </c>
      <c r="E4" s="1" t="s">
        <v>21</v>
      </c>
      <c r="F4" s="12">
        <v>58</v>
      </c>
      <c r="G4" s="13"/>
      <c r="H4" s="11"/>
    </row>
    <row r="5" spans="2:8" ht="27.6" x14ac:dyDescent="0.3">
      <c r="B5" s="1" t="s">
        <v>365</v>
      </c>
      <c r="C5" s="1" t="s">
        <v>367</v>
      </c>
      <c r="D5" s="2" t="s">
        <v>348</v>
      </c>
      <c r="E5" s="1" t="s">
        <v>21</v>
      </c>
      <c r="F5" s="12">
        <v>190</v>
      </c>
      <c r="G5" s="13"/>
      <c r="H5" s="11"/>
    </row>
    <row r="6" spans="2:8" ht="27.6" x14ac:dyDescent="0.3">
      <c r="B6" s="1" t="s">
        <v>365</v>
      </c>
      <c r="C6" s="1" t="s">
        <v>367</v>
      </c>
      <c r="D6" s="2" t="s">
        <v>349</v>
      </c>
      <c r="E6" s="1" t="s">
        <v>21</v>
      </c>
      <c r="F6" s="12">
        <v>190</v>
      </c>
      <c r="G6" s="13"/>
      <c r="H6" s="11"/>
    </row>
    <row r="7" spans="2:8" x14ac:dyDescent="0.3">
      <c r="B7" s="1" t="s">
        <v>365</v>
      </c>
      <c r="C7" s="1" t="s">
        <v>367</v>
      </c>
      <c r="D7" s="2" t="s">
        <v>350</v>
      </c>
      <c r="E7" s="1" t="s">
        <v>21</v>
      </c>
      <c r="F7" s="12">
        <v>190</v>
      </c>
      <c r="G7" s="13">
        <v>30</v>
      </c>
      <c r="H7" s="11">
        <f>F7*G7</f>
        <v>5700</v>
      </c>
    </row>
    <row r="8" spans="2:8" ht="27.6" x14ac:dyDescent="0.3">
      <c r="B8" s="1" t="s">
        <v>365</v>
      </c>
      <c r="C8" s="1" t="s">
        <v>367</v>
      </c>
      <c r="D8" s="2" t="s">
        <v>351</v>
      </c>
      <c r="E8" s="1" t="s">
        <v>106</v>
      </c>
      <c r="F8" s="12">
        <v>192</v>
      </c>
      <c r="G8" s="13">
        <v>2</v>
      </c>
      <c r="H8" s="11">
        <f>F8*G8</f>
        <v>384</v>
      </c>
    </row>
    <row r="9" spans="2:8" ht="27.6" x14ac:dyDescent="0.3">
      <c r="B9" s="1" t="s">
        <v>365</v>
      </c>
      <c r="C9" s="1" t="s">
        <v>368</v>
      </c>
      <c r="D9" s="2" t="s">
        <v>353</v>
      </c>
      <c r="E9" s="1" t="s">
        <v>106</v>
      </c>
      <c r="F9" s="12">
        <v>38</v>
      </c>
      <c r="G9" s="13"/>
      <c r="H9" s="11"/>
    </row>
    <row r="10" spans="2:8" ht="27.6" x14ac:dyDescent="0.3">
      <c r="B10" s="1" t="s">
        <v>365</v>
      </c>
      <c r="C10" s="1" t="s">
        <v>369</v>
      </c>
      <c r="D10" s="2" t="s">
        <v>354</v>
      </c>
      <c r="E10" s="1" t="s">
        <v>21</v>
      </c>
      <c r="F10" s="12">
        <v>108</v>
      </c>
      <c r="G10" s="13"/>
      <c r="H10" s="11"/>
    </row>
    <row r="11" spans="2:8" ht="27.6" x14ac:dyDescent="0.3">
      <c r="B11" s="1" t="s">
        <v>365</v>
      </c>
      <c r="C11" s="1" t="s">
        <v>369</v>
      </c>
      <c r="D11" s="2" t="s">
        <v>355</v>
      </c>
      <c r="E11" s="1" t="s">
        <v>21</v>
      </c>
      <c r="F11" s="12">
        <v>108</v>
      </c>
      <c r="G11" s="13"/>
      <c r="H11" s="11"/>
    </row>
    <row r="12" spans="2:8" ht="27.6" x14ac:dyDescent="0.3">
      <c r="B12" s="1" t="s">
        <v>365</v>
      </c>
      <c r="C12" s="1" t="s">
        <v>369</v>
      </c>
      <c r="D12" s="2" t="s">
        <v>356</v>
      </c>
      <c r="E12" s="1" t="s">
        <v>21</v>
      </c>
      <c r="F12" s="12">
        <v>108</v>
      </c>
      <c r="G12" s="13">
        <v>17</v>
      </c>
      <c r="H12" s="11">
        <f>F12*G12</f>
        <v>1836</v>
      </c>
    </row>
    <row r="13" spans="2:8" ht="27.6" x14ac:dyDescent="0.3">
      <c r="B13" s="1" t="s">
        <v>365</v>
      </c>
      <c r="C13" s="1" t="s">
        <v>369</v>
      </c>
      <c r="D13" s="2" t="s">
        <v>357</v>
      </c>
      <c r="E13" s="1" t="s">
        <v>106</v>
      </c>
      <c r="F13" s="12">
        <v>241</v>
      </c>
      <c r="G13" s="13">
        <v>123</v>
      </c>
      <c r="H13" s="11">
        <f>F13*G13</f>
        <v>29643</v>
      </c>
    </row>
    <row r="14" spans="2:8" ht="27.6" x14ac:dyDescent="0.3">
      <c r="B14" s="1" t="s">
        <v>365</v>
      </c>
      <c r="C14" s="1" t="s">
        <v>369</v>
      </c>
      <c r="D14" s="2" t="s">
        <v>358</v>
      </c>
      <c r="E14" s="1" t="s">
        <v>106</v>
      </c>
      <c r="F14" s="12">
        <v>241</v>
      </c>
      <c r="G14" s="13">
        <v>33.199999999999996</v>
      </c>
      <c r="H14" s="11">
        <f>F14*G14</f>
        <v>8001.1999999999989</v>
      </c>
    </row>
  </sheetData>
  <autoFilter ref="A1:G14" xr:uid="{49C4E761-839B-4CF0-9D27-8F3A138FF82B}"/>
  <conditionalFormatting sqref="B2:G14">
    <cfRule type="expression" dxfId="15" priority="1">
      <formula>$I2&gt;0</formula>
    </cfRule>
  </conditionalFormatting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463EC-C32F-4D8A-90E1-5225B0D11861}">
  <sheetPr codeName="Лист78">
    <tabColor rgb="FF00B050"/>
  </sheetPr>
  <dimension ref="B1:H14"/>
  <sheetViews>
    <sheetView topLeftCell="A7"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2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2:8" ht="41.4" x14ac:dyDescent="0.3">
      <c r="B2" s="1" t="s">
        <v>359</v>
      </c>
      <c r="C2" s="1" t="s">
        <v>360</v>
      </c>
      <c r="D2" s="2" t="s">
        <v>346</v>
      </c>
      <c r="E2" s="1" t="s">
        <v>21</v>
      </c>
      <c r="F2" s="12">
        <v>101</v>
      </c>
      <c r="G2" s="13"/>
      <c r="H2" s="11"/>
    </row>
    <row r="3" spans="2:8" ht="41.4" x14ac:dyDescent="0.3">
      <c r="B3" s="1" t="s">
        <v>359</v>
      </c>
      <c r="C3" s="1" t="s">
        <v>360</v>
      </c>
      <c r="D3" s="2" t="s">
        <v>361</v>
      </c>
      <c r="E3" s="1" t="s">
        <v>21</v>
      </c>
      <c r="F3" s="12">
        <v>61</v>
      </c>
      <c r="G3" s="13"/>
      <c r="H3" s="11"/>
    </row>
    <row r="4" spans="2:8" x14ac:dyDescent="0.3">
      <c r="B4" s="1" t="s">
        <v>359</v>
      </c>
      <c r="C4" s="1" t="s">
        <v>360</v>
      </c>
      <c r="D4" s="2" t="s">
        <v>79</v>
      </c>
      <c r="E4" s="1" t="s">
        <v>21</v>
      </c>
      <c r="F4" s="12">
        <v>61</v>
      </c>
      <c r="G4" s="13"/>
      <c r="H4" s="11"/>
    </row>
    <row r="5" spans="2:8" ht="27.6" x14ac:dyDescent="0.3">
      <c r="B5" s="1" t="s">
        <v>359</v>
      </c>
      <c r="C5" s="1" t="s">
        <v>362</v>
      </c>
      <c r="D5" s="2" t="s">
        <v>348</v>
      </c>
      <c r="E5" s="1" t="s">
        <v>21</v>
      </c>
      <c r="F5" s="12">
        <v>244</v>
      </c>
      <c r="G5" s="13"/>
      <c r="H5" s="11"/>
    </row>
    <row r="6" spans="2:8" ht="27.6" x14ac:dyDescent="0.3">
      <c r="B6" s="1" t="s">
        <v>359</v>
      </c>
      <c r="C6" s="1" t="s">
        <v>362</v>
      </c>
      <c r="D6" s="2" t="s">
        <v>349</v>
      </c>
      <c r="E6" s="1" t="s">
        <v>21</v>
      </c>
      <c r="F6" s="12">
        <v>244</v>
      </c>
      <c r="G6" s="13"/>
      <c r="H6" s="11"/>
    </row>
    <row r="7" spans="2:8" x14ac:dyDescent="0.3">
      <c r="B7" s="1" t="s">
        <v>359</v>
      </c>
      <c r="C7" s="1" t="s">
        <v>362</v>
      </c>
      <c r="D7" s="2" t="s">
        <v>350</v>
      </c>
      <c r="E7" s="1" t="s">
        <v>21</v>
      </c>
      <c r="F7" s="12">
        <v>244</v>
      </c>
      <c r="G7" s="13">
        <v>30</v>
      </c>
      <c r="H7" s="11">
        <f>F7*G7</f>
        <v>7320</v>
      </c>
    </row>
    <row r="8" spans="2:8" ht="27.6" x14ac:dyDescent="0.3">
      <c r="B8" s="1" t="s">
        <v>359</v>
      </c>
      <c r="C8" s="1" t="s">
        <v>362</v>
      </c>
      <c r="D8" s="2" t="s">
        <v>351</v>
      </c>
      <c r="E8" s="1" t="s">
        <v>106</v>
      </c>
      <c r="F8" s="12">
        <v>212</v>
      </c>
      <c r="G8" s="13">
        <v>2</v>
      </c>
      <c r="H8" s="11">
        <f>F8*G8</f>
        <v>424</v>
      </c>
    </row>
    <row r="9" spans="2:8" ht="27.6" x14ac:dyDescent="0.3">
      <c r="B9" s="1" t="s">
        <v>359</v>
      </c>
      <c r="C9" s="1" t="s">
        <v>363</v>
      </c>
      <c r="D9" s="2" t="s">
        <v>353</v>
      </c>
      <c r="E9" s="1" t="s">
        <v>106</v>
      </c>
      <c r="F9" s="12">
        <v>57.999999999999993</v>
      </c>
      <c r="G9" s="13"/>
      <c r="H9" s="11"/>
    </row>
    <row r="10" spans="2:8" ht="27.6" x14ac:dyDescent="0.3">
      <c r="B10" s="1" t="s">
        <v>359</v>
      </c>
      <c r="C10" s="1" t="s">
        <v>364</v>
      </c>
      <c r="D10" s="2" t="s">
        <v>354</v>
      </c>
      <c r="E10" s="1" t="s">
        <v>21</v>
      </c>
      <c r="F10" s="12">
        <v>113</v>
      </c>
      <c r="G10" s="13"/>
      <c r="H10" s="11"/>
    </row>
    <row r="11" spans="2:8" ht="27.6" x14ac:dyDescent="0.3">
      <c r="B11" s="1" t="s">
        <v>359</v>
      </c>
      <c r="C11" s="1" t="s">
        <v>364</v>
      </c>
      <c r="D11" s="2" t="s">
        <v>355</v>
      </c>
      <c r="E11" s="1" t="s">
        <v>21</v>
      </c>
      <c r="F11" s="12">
        <v>113</v>
      </c>
      <c r="G11" s="13"/>
      <c r="H11" s="11"/>
    </row>
    <row r="12" spans="2:8" ht="27.6" x14ac:dyDescent="0.3">
      <c r="B12" s="1" t="s">
        <v>359</v>
      </c>
      <c r="C12" s="1" t="s">
        <v>364</v>
      </c>
      <c r="D12" s="2" t="s">
        <v>356</v>
      </c>
      <c r="E12" s="1" t="s">
        <v>21</v>
      </c>
      <c r="F12" s="12">
        <v>112.99999999999999</v>
      </c>
      <c r="G12" s="13">
        <v>17.000000000000004</v>
      </c>
      <c r="H12" s="11">
        <f>F12*G12</f>
        <v>1921.0000000000002</v>
      </c>
    </row>
    <row r="13" spans="2:8" ht="27.6" x14ac:dyDescent="0.3">
      <c r="B13" s="1" t="s">
        <v>359</v>
      </c>
      <c r="C13" s="1" t="s">
        <v>364</v>
      </c>
      <c r="D13" s="2" t="s">
        <v>357</v>
      </c>
      <c r="E13" s="1" t="s">
        <v>106</v>
      </c>
      <c r="F13" s="12">
        <v>252</v>
      </c>
      <c r="G13" s="13">
        <v>123</v>
      </c>
      <c r="H13" s="11">
        <f>F13*G13</f>
        <v>30996</v>
      </c>
    </row>
    <row r="14" spans="2:8" ht="27.6" x14ac:dyDescent="0.3">
      <c r="B14" s="1" t="s">
        <v>359</v>
      </c>
      <c r="C14" s="1" t="s">
        <v>364</v>
      </c>
      <c r="D14" s="2" t="s">
        <v>358</v>
      </c>
      <c r="E14" s="1" t="s">
        <v>106</v>
      </c>
      <c r="F14" s="12">
        <v>252</v>
      </c>
      <c r="G14" s="13">
        <v>33.199999999999996</v>
      </c>
      <c r="H14" s="11">
        <f>F14*G14</f>
        <v>8366.4</v>
      </c>
    </row>
  </sheetData>
  <autoFilter ref="A1:G14" xr:uid="{49C4E761-839B-4CF0-9D27-8F3A138FF82B}"/>
  <conditionalFormatting sqref="B2:G14">
    <cfRule type="expression" dxfId="14" priority="1">
      <formula>$I2&gt;0</formula>
    </cfRule>
  </conditionalFormatting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59DC4-1E4C-4DFD-B44D-138D65FCCA35}">
  <sheetPr codeName="Лист79">
    <tabColor rgb="FF00B050"/>
  </sheetPr>
  <dimension ref="A1:H7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352</v>
      </c>
      <c r="C2" s="1" t="s">
        <v>729</v>
      </c>
      <c r="D2" s="2" t="s">
        <v>353</v>
      </c>
      <c r="E2" s="1" t="s">
        <v>106</v>
      </c>
      <c r="F2" s="12">
        <v>54</v>
      </c>
      <c r="G2" s="13"/>
      <c r="H2" s="11"/>
    </row>
    <row r="3" spans="1:8" ht="27.6" x14ac:dyDescent="0.3">
      <c r="A3">
        <v>1</v>
      </c>
      <c r="B3" s="1" t="s">
        <v>352</v>
      </c>
      <c r="C3" s="1" t="s">
        <v>728</v>
      </c>
      <c r="D3" s="2" t="s">
        <v>354</v>
      </c>
      <c r="E3" s="1" t="s">
        <v>21</v>
      </c>
      <c r="F3" s="12">
        <v>113</v>
      </c>
      <c r="G3" s="13"/>
      <c r="H3" s="11"/>
    </row>
    <row r="4" spans="1:8" ht="27.6" x14ac:dyDescent="0.3">
      <c r="A4">
        <v>1</v>
      </c>
      <c r="B4" s="1" t="s">
        <v>352</v>
      </c>
      <c r="C4" s="1" t="s">
        <v>728</v>
      </c>
      <c r="D4" s="2" t="s">
        <v>355</v>
      </c>
      <c r="E4" s="1" t="s">
        <v>21</v>
      </c>
      <c r="F4" s="12">
        <v>113</v>
      </c>
      <c r="G4" s="13"/>
      <c r="H4" s="11"/>
    </row>
    <row r="5" spans="1:8" ht="27.6" x14ac:dyDescent="0.3">
      <c r="A5">
        <v>1</v>
      </c>
      <c r="B5" s="1" t="s">
        <v>352</v>
      </c>
      <c r="C5" s="1" t="s">
        <v>728</v>
      </c>
      <c r="D5" s="2" t="s">
        <v>356</v>
      </c>
      <c r="E5" s="1" t="s">
        <v>21</v>
      </c>
      <c r="F5" s="12">
        <v>112.99999999999999</v>
      </c>
      <c r="G5" s="13">
        <v>17.000000000000004</v>
      </c>
      <c r="H5" s="11">
        <f>F5*G5</f>
        <v>1921.0000000000002</v>
      </c>
    </row>
    <row r="6" spans="1:8" ht="27.6" x14ac:dyDescent="0.3">
      <c r="A6">
        <v>1</v>
      </c>
      <c r="B6" s="1" t="s">
        <v>352</v>
      </c>
      <c r="C6" s="1" t="s">
        <v>728</v>
      </c>
      <c r="D6" s="2" t="s">
        <v>357</v>
      </c>
      <c r="E6" s="1" t="s">
        <v>106</v>
      </c>
      <c r="F6" s="12">
        <v>252</v>
      </c>
      <c r="G6" s="13">
        <v>123</v>
      </c>
      <c r="H6" s="11">
        <f>F6*G6</f>
        <v>30996</v>
      </c>
    </row>
    <row r="7" spans="1:8" ht="27.6" x14ac:dyDescent="0.3">
      <c r="A7">
        <v>1</v>
      </c>
      <c r="B7" s="1" t="s">
        <v>352</v>
      </c>
      <c r="C7" s="1" t="s">
        <v>728</v>
      </c>
      <c r="D7" s="2" t="s">
        <v>358</v>
      </c>
      <c r="E7" s="1" t="s">
        <v>106</v>
      </c>
      <c r="F7" s="12">
        <v>252</v>
      </c>
      <c r="G7" s="13">
        <v>33.199999999999996</v>
      </c>
      <c r="H7" s="11">
        <f>F7*G7</f>
        <v>8366.4</v>
      </c>
    </row>
  </sheetData>
  <autoFilter ref="A1:G7" xr:uid="{49C4E761-839B-4CF0-9D27-8F3A138FF82B}"/>
  <conditionalFormatting sqref="B2:G7">
    <cfRule type="expression" dxfId="13" priority="1">
      <formula>$I2&gt;0</formula>
    </cfRule>
  </conditionalFormatting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389F-0652-4612-9724-59729585579C}">
  <sheetPr codeName="Лист80"/>
  <dimension ref="A1:H8"/>
  <sheetViews>
    <sheetView workbookViewId="0">
      <selection activeCell="D31" sqref="D31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3</v>
      </c>
      <c r="B2" s="1" t="s">
        <v>330</v>
      </c>
      <c r="C2" s="1" t="s">
        <v>731</v>
      </c>
      <c r="D2" s="2" t="s">
        <v>321</v>
      </c>
      <c r="E2" s="1" t="s">
        <v>21</v>
      </c>
      <c r="F2" s="12">
        <v>1</v>
      </c>
      <c r="G2" s="13">
        <v>615</v>
      </c>
      <c r="H2" s="11">
        <f>F2*G2</f>
        <v>615</v>
      </c>
    </row>
    <row r="3" spans="1:8" ht="27.6" x14ac:dyDescent="0.3">
      <c r="A3">
        <v>3</v>
      </c>
      <c r="B3" s="1" t="s">
        <v>330</v>
      </c>
      <c r="C3" s="1" t="s">
        <v>731</v>
      </c>
      <c r="D3" s="2" t="s">
        <v>190</v>
      </c>
      <c r="E3" s="1" t="s">
        <v>21</v>
      </c>
      <c r="F3" s="12">
        <v>51</v>
      </c>
      <c r="G3" s="13"/>
      <c r="H3" s="11"/>
    </row>
    <row r="4" spans="1:8" x14ac:dyDescent="0.3">
      <c r="A4">
        <v>2</v>
      </c>
      <c r="B4" s="1" t="s">
        <v>330</v>
      </c>
      <c r="C4" s="1" t="s">
        <v>730</v>
      </c>
      <c r="D4" s="2" t="s">
        <v>322</v>
      </c>
      <c r="E4" s="1" t="s">
        <v>753</v>
      </c>
      <c r="F4" s="12">
        <v>174</v>
      </c>
      <c r="G4" s="13">
        <v>24</v>
      </c>
      <c r="H4" s="11">
        <f>F4*G4</f>
        <v>4176</v>
      </c>
    </row>
    <row r="5" spans="1:8" x14ac:dyDescent="0.3">
      <c r="A5">
        <v>2</v>
      </c>
      <c r="B5" s="1" t="s">
        <v>330</v>
      </c>
      <c r="C5" s="1" t="s">
        <v>730</v>
      </c>
      <c r="D5" s="2" t="s">
        <v>323</v>
      </c>
      <c r="E5" s="1" t="s">
        <v>44</v>
      </c>
      <c r="F5" s="12">
        <v>2</v>
      </c>
      <c r="G5" s="13">
        <v>8.1999999999999993</v>
      </c>
      <c r="H5" s="11">
        <f>F5*G5</f>
        <v>16.399999999999999</v>
      </c>
    </row>
    <row r="6" spans="1:8" ht="27.6" x14ac:dyDescent="0.3">
      <c r="A6">
        <v>2</v>
      </c>
      <c r="B6" s="1" t="s">
        <v>330</v>
      </c>
      <c r="C6" s="1" t="s">
        <v>730</v>
      </c>
      <c r="D6" s="2" t="s">
        <v>324</v>
      </c>
      <c r="E6" s="1" t="s">
        <v>753</v>
      </c>
      <c r="F6" s="12">
        <v>6</v>
      </c>
      <c r="G6" s="13">
        <v>24</v>
      </c>
      <c r="H6" s="11">
        <f>F6*G6</f>
        <v>144</v>
      </c>
    </row>
    <row r="7" spans="1:8" x14ac:dyDescent="0.3">
      <c r="A7">
        <v>1</v>
      </c>
      <c r="B7" s="1" t="s">
        <v>330</v>
      </c>
      <c r="C7" s="1" t="s">
        <v>605</v>
      </c>
      <c r="D7" s="2" t="s">
        <v>93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x14ac:dyDescent="0.3">
      <c r="A8">
        <v>1</v>
      </c>
      <c r="B8" s="1" t="s">
        <v>330</v>
      </c>
      <c r="C8" s="1" t="s">
        <v>605</v>
      </c>
      <c r="D8" s="2" t="s">
        <v>325</v>
      </c>
      <c r="E8" s="1" t="s">
        <v>21</v>
      </c>
      <c r="F8" s="12">
        <v>51</v>
      </c>
      <c r="G8" s="13"/>
      <c r="H8" s="11"/>
    </row>
  </sheetData>
  <autoFilter ref="A1:G8" xr:uid="{49C4E761-839B-4CF0-9D27-8F3A138FF82B}"/>
  <conditionalFormatting sqref="B2:G8">
    <cfRule type="expression" dxfId="12" priority="1">
      <formula>$I2&gt;0</formula>
    </cfRule>
  </conditionalFormatting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06C0F-39F6-4996-A802-B17C47B41132}">
  <sheetPr codeName="Лист81">
    <tabColor rgb="FF00B050"/>
  </sheetPr>
  <dimension ref="A1:H8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41.4" x14ac:dyDescent="0.3">
      <c r="A2">
        <v>1</v>
      </c>
      <c r="B2" s="1" t="s">
        <v>345</v>
      </c>
      <c r="C2" s="1" t="s">
        <v>732</v>
      </c>
      <c r="D2" s="2" t="s">
        <v>346</v>
      </c>
      <c r="E2" s="1" t="s">
        <v>21</v>
      </c>
      <c r="F2" s="12">
        <v>140</v>
      </c>
      <c r="G2" s="13"/>
      <c r="H2" s="11"/>
    </row>
    <row r="3" spans="1:8" ht="41.4" x14ac:dyDescent="0.3">
      <c r="A3">
        <v>1</v>
      </c>
      <c r="B3" s="1" t="s">
        <v>345</v>
      </c>
      <c r="C3" s="1" t="s">
        <v>732</v>
      </c>
      <c r="D3" s="2" t="s">
        <v>347</v>
      </c>
      <c r="E3" s="1" t="s">
        <v>21</v>
      </c>
      <c r="F3" s="12">
        <v>132</v>
      </c>
      <c r="G3" s="13"/>
      <c r="H3" s="11"/>
    </row>
    <row r="4" spans="1:8" x14ac:dyDescent="0.3">
      <c r="A4">
        <v>1</v>
      </c>
      <c r="B4" s="1" t="s">
        <v>345</v>
      </c>
      <c r="C4" s="1" t="s">
        <v>732</v>
      </c>
      <c r="D4" s="2" t="s">
        <v>79</v>
      </c>
      <c r="E4" s="1" t="s">
        <v>21</v>
      </c>
      <c r="F4" s="12">
        <v>132</v>
      </c>
      <c r="G4" s="13"/>
      <c r="H4" s="11"/>
    </row>
    <row r="5" spans="1:8" ht="27.6" x14ac:dyDescent="0.3">
      <c r="A5">
        <v>1</v>
      </c>
      <c r="B5" s="1" t="s">
        <v>345</v>
      </c>
      <c r="C5" s="1" t="s">
        <v>733</v>
      </c>
      <c r="D5" s="2" t="s">
        <v>348</v>
      </c>
      <c r="E5" s="1" t="s">
        <v>21</v>
      </c>
      <c r="F5" s="12">
        <v>271</v>
      </c>
      <c r="G5" s="13"/>
      <c r="H5" s="11"/>
    </row>
    <row r="6" spans="1:8" ht="27.6" x14ac:dyDescent="0.3">
      <c r="A6">
        <v>1</v>
      </c>
      <c r="B6" s="1" t="s">
        <v>345</v>
      </c>
      <c r="C6" s="1" t="s">
        <v>733</v>
      </c>
      <c r="D6" s="2" t="s">
        <v>349</v>
      </c>
      <c r="E6" s="1" t="s">
        <v>21</v>
      </c>
      <c r="F6" s="12">
        <v>271</v>
      </c>
      <c r="G6" s="13"/>
      <c r="H6" s="11"/>
    </row>
    <row r="7" spans="1:8" x14ac:dyDescent="0.3">
      <c r="A7">
        <v>1</v>
      </c>
      <c r="B7" s="1" t="s">
        <v>345</v>
      </c>
      <c r="C7" s="1" t="s">
        <v>733</v>
      </c>
      <c r="D7" s="2" t="s">
        <v>350</v>
      </c>
      <c r="E7" s="1" t="s">
        <v>21</v>
      </c>
      <c r="F7" s="12">
        <v>271</v>
      </c>
      <c r="G7" s="13">
        <v>30.000000000000004</v>
      </c>
      <c r="H7" s="11">
        <f>F7*G7</f>
        <v>8130.0000000000009</v>
      </c>
    </row>
    <row r="8" spans="1:8" ht="27.6" x14ac:dyDescent="0.3">
      <c r="A8">
        <v>1</v>
      </c>
      <c r="B8" s="1" t="s">
        <v>345</v>
      </c>
      <c r="C8" s="1" t="s">
        <v>733</v>
      </c>
      <c r="D8" s="2" t="s">
        <v>351</v>
      </c>
      <c r="E8" s="1" t="s">
        <v>106</v>
      </c>
      <c r="F8" s="12">
        <v>209</v>
      </c>
      <c r="G8" s="13">
        <v>2</v>
      </c>
      <c r="H8" s="11">
        <f>F8*G8</f>
        <v>418</v>
      </c>
    </row>
  </sheetData>
  <autoFilter ref="A1:G8" xr:uid="{49C4E761-839B-4CF0-9D27-8F3A138FF82B}"/>
  <conditionalFormatting sqref="B2:G8">
    <cfRule type="expression" dxfId="11" priority="1">
      <formula>$I2&gt;0</formula>
    </cfRule>
  </conditionalFormatting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B9383-48C5-4E64-9085-5A46D1307C0F}">
  <sheetPr codeName="Лист82"/>
  <dimension ref="A1:H8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3</v>
      </c>
      <c r="B2" s="1" t="s">
        <v>329</v>
      </c>
      <c r="C2" s="1" t="s">
        <v>735</v>
      </c>
      <c r="D2" s="2" t="s">
        <v>321</v>
      </c>
      <c r="E2" s="1" t="s">
        <v>21</v>
      </c>
      <c r="F2" s="12">
        <v>1</v>
      </c>
      <c r="G2" s="13">
        <v>615</v>
      </c>
      <c r="H2" s="11">
        <f>F2*G2</f>
        <v>615</v>
      </c>
    </row>
    <row r="3" spans="1:8" ht="27.6" x14ac:dyDescent="0.3">
      <c r="A3">
        <v>3</v>
      </c>
      <c r="B3" s="1" t="s">
        <v>329</v>
      </c>
      <c r="C3" s="1" t="s">
        <v>735</v>
      </c>
      <c r="D3" s="2" t="s">
        <v>190</v>
      </c>
      <c r="E3" s="1" t="s">
        <v>21</v>
      </c>
      <c r="F3" s="12">
        <v>51</v>
      </c>
      <c r="G3" s="13"/>
      <c r="H3" s="11"/>
    </row>
    <row r="4" spans="1:8" x14ac:dyDescent="0.3">
      <c r="A4">
        <v>2</v>
      </c>
      <c r="B4" s="1" t="s">
        <v>329</v>
      </c>
      <c r="C4" s="1" t="s">
        <v>734</v>
      </c>
      <c r="D4" s="2" t="s">
        <v>322</v>
      </c>
      <c r="E4" s="1" t="s">
        <v>753</v>
      </c>
      <c r="F4" s="12">
        <v>174</v>
      </c>
      <c r="G4" s="13">
        <v>24</v>
      </c>
      <c r="H4" s="11">
        <f>F4*G4</f>
        <v>4176</v>
      </c>
    </row>
    <row r="5" spans="1:8" x14ac:dyDescent="0.3">
      <c r="A5">
        <v>2</v>
      </c>
      <c r="B5" s="1" t="s">
        <v>329</v>
      </c>
      <c r="C5" s="1" t="s">
        <v>734</v>
      </c>
      <c r="D5" s="2" t="s">
        <v>323</v>
      </c>
      <c r="E5" s="1" t="s">
        <v>44</v>
      </c>
      <c r="F5" s="12">
        <v>2</v>
      </c>
      <c r="G5" s="13">
        <v>8.1999999999999993</v>
      </c>
      <c r="H5" s="11">
        <f>F5*G5</f>
        <v>16.399999999999999</v>
      </c>
    </row>
    <row r="6" spans="1:8" ht="27.6" x14ac:dyDescent="0.3">
      <c r="A6">
        <v>2</v>
      </c>
      <c r="B6" s="1" t="s">
        <v>329</v>
      </c>
      <c r="C6" s="1" t="s">
        <v>734</v>
      </c>
      <c r="D6" s="2" t="s">
        <v>324</v>
      </c>
      <c r="E6" s="1" t="s">
        <v>753</v>
      </c>
      <c r="F6" s="12">
        <v>6</v>
      </c>
      <c r="G6" s="13">
        <v>24</v>
      </c>
      <c r="H6" s="11">
        <f>F6*G6</f>
        <v>144</v>
      </c>
    </row>
    <row r="7" spans="1:8" x14ac:dyDescent="0.3">
      <c r="A7">
        <v>1</v>
      </c>
      <c r="B7" s="1" t="s">
        <v>329</v>
      </c>
      <c r="C7" s="1" t="s">
        <v>604</v>
      </c>
      <c r="D7" s="2" t="s">
        <v>93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x14ac:dyDescent="0.3">
      <c r="A8">
        <v>1</v>
      </c>
      <c r="B8" s="1" t="s">
        <v>329</v>
      </c>
      <c r="C8" s="1" t="s">
        <v>604</v>
      </c>
      <c r="D8" s="2" t="s">
        <v>325</v>
      </c>
      <c r="E8" s="1" t="s">
        <v>21</v>
      </c>
      <c r="F8" s="12">
        <v>51</v>
      </c>
      <c r="G8" s="13"/>
      <c r="H8" s="11"/>
    </row>
  </sheetData>
  <autoFilter ref="A1:G8" xr:uid="{49C4E761-839B-4CF0-9D27-8F3A138FF82B}"/>
  <conditionalFormatting sqref="B2:G8">
    <cfRule type="expression" dxfId="10" priority="1">
      <formula>$I2&gt;0</formula>
    </cfRule>
  </conditionalFormatting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4CC96-4A7D-4197-A75B-C763F715678E}">
  <sheetPr codeName="Лист83"/>
  <dimension ref="A1:H8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3</v>
      </c>
      <c r="B2" s="1" t="s">
        <v>339</v>
      </c>
      <c r="C2" s="1" t="s">
        <v>737</v>
      </c>
      <c r="D2" s="2" t="s">
        <v>321</v>
      </c>
      <c r="E2" s="1" t="s">
        <v>21</v>
      </c>
      <c r="F2" s="12">
        <v>1</v>
      </c>
      <c r="G2" s="13">
        <v>615</v>
      </c>
      <c r="H2" s="11">
        <f>F2*G2</f>
        <v>615</v>
      </c>
    </row>
    <row r="3" spans="1:8" ht="27.6" x14ac:dyDescent="0.3">
      <c r="A3">
        <v>3</v>
      </c>
      <c r="B3" s="1" t="s">
        <v>339</v>
      </c>
      <c r="C3" s="1" t="s">
        <v>737</v>
      </c>
      <c r="D3" s="2" t="s">
        <v>190</v>
      </c>
      <c r="E3" s="1" t="s">
        <v>21</v>
      </c>
      <c r="F3" s="12">
        <v>51</v>
      </c>
      <c r="G3" s="13"/>
      <c r="H3" s="11"/>
    </row>
    <row r="4" spans="1:8" x14ac:dyDescent="0.3">
      <c r="A4">
        <v>2</v>
      </c>
      <c r="B4" s="1" t="s">
        <v>339</v>
      </c>
      <c r="C4" s="1" t="s">
        <v>736</v>
      </c>
      <c r="D4" s="2" t="s">
        <v>322</v>
      </c>
      <c r="E4" s="1" t="s">
        <v>753</v>
      </c>
      <c r="F4" s="12">
        <v>174</v>
      </c>
      <c r="G4" s="13">
        <v>24</v>
      </c>
      <c r="H4" s="11">
        <f>F4*G4</f>
        <v>4176</v>
      </c>
    </row>
    <row r="5" spans="1:8" x14ac:dyDescent="0.3">
      <c r="A5">
        <v>2</v>
      </c>
      <c r="B5" s="1" t="s">
        <v>339</v>
      </c>
      <c r="C5" s="1" t="s">
        <v>736</v>
      </c>
      <c r="D5" s="2" t="s">
        <v>323</v>
      </c>
      <c r="E5" s="1" t="s">
        <v>44</v>
      </c>
      <c r="F5" s="12">
        <v>2</v>
      </c>
      <c r="G5" s="13">
        <v>8.1999999999999993</v>
      </c>
      <c r="H5" s="11">
        <f>F5*G5</f>
        <v>16.399999999999999</v>
      </c>
    </row>
    <row r="6" spans="1:8" ht="27.6" x14ac:dyDescent="0.3">
      <c r="A6">
        <v>2</v>
      </c>
      <c r="B6" s="1" t="s">
        <v>339</v>
      </c>
      <c r="C6" s="1" t="s">
        <v>736</v>
      </c>
      <c r="D6" s="2" t="s">
        <v>324</v>
      </c>
      <c r="E6" s="1" t="s">
        <v>753</v>
      </c>
      <c r="F6" s="12">
        <v>6</v>
      </c>
      <c r="G6" s="13">
        <v>24</v>
      </c>
      <c r="H6" s="11">
        <f>F6*G6</f>
        <v>144</v>
      </c>
    </row>
    <row r="7" spans="1:8" x14ac:dyDescent="0.3">
      <c r="A7">
        <v>1</v>
      </c>
      <c r="B7" s="1" t="s">
        <v>339</v>
      </c>
      <c r="C7" s="1" t="s">
        <v>597</v>
      </c>
      <c r="D7" s="2" t="s">
        <v>93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x14ac:dyDescent="0.3">
      <c r="A8">
        <v>1</v>
      </c>
      <c r="B8" s="1" t="s">
        <v>339</v>
      </c>
      <c r="C8" s="1" t="s">
        <v>597</v>
      </c>
      <c r="D8" s="2" t="s">
        <v>325</v>
      </c>
      <c r="E8" s="1" t="s">
        <v>21</v>
      </c>
      <c r="F8" s="12">
        <v>51</v>
      </c>
      <c r="G8" s="13"/>
      <c r="H8" s="11"/>
    </row>
  </sheetData>
  <autoFilter ref="A1:G8" xr:uid="{49C4E761-839B-4CF0-9D27-8F3A138FF82B}"/>
  <conditionalFormatting sqref="B2:G8">
    <cfRule type="expression" dxfId="9" priority="1">
      <formula>$I2&gt;0</formula>
    </cfRule>
  </conditionalFormatting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E788D-B8F6-41CA-8122-F31F9374FDA5}">
  <sheetPr codeName="Лист84"/>
  <dimension ref="A1:H8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3</v>
      </c>
      <c r="B2" s="1" t="s">
        <v>338</v>
      </c>
      <c r="C2" s="1" t="s">
        <v>739</v>
      </c>
      <c r="D2" s="2" t="s">
        <v>321</v>
      </c>
      <c r="E2" s="1" t="s">
        <v>21</v>
      </c>
      <c r="F2" s="12">
        <v>1</v>
      </c>
      <c r="G2" s="13">
        <v>615</v>
      </c>
      <c r="H2" s="11">
        <f>F2*G2</f>
        <v>615</v>
      </c>
    </row>
    <row r="3" spans="1:8" ht="27.6" x14ac:dyDescent="0.3">
      <c r="A3">
        <v>3</v>
      </c>
      <c r="B3" s="1" t="s">
        <v>338</v>
      </c>
      <c r="C3" s="1" t="s">
        <v>739</v>
      </c>
      <c r="D3" s="2" t="s">
        <v>190</v>
      </c>
      <c r="E3" s="1" t="s">
        <v>21</v>
      </c>
      <c r="F3" s="12">
        <v>51</v>
      </c>
      <c r="G3" s="13"/>
      <c r="H3" s="11"/>
    </row>
    <row r="4" spans="1:8" x14ac:dyDescent="0.3">
      <c r="A4">
        <v>2</v>
      </c>
      <c r="B4" s="1" t="s">
        <v>338</v>
      </c>
      <c r="C4" s="1" t="s">
        <v>738</v>
      </c>
      <c r="D4" s="2" t="s">
        <v>322</v>
      </c>
      <c r="E4" s="1" t="s">
        <v>753</v>
      </c>
      <c r="F4" s="12">
        <v>174</v>
      </c>
      <c r="G4" s="13">
        <v>24</v>
      </c>
      <c r="H4" s="11">
        <f>F4*G4</f>
        <v>4176</v>
      </c>
    </row>
    <row r="5" spans="1:8" x14ac:dyDescent="0.3">
      <c r="A5">
        <v>2</v>
      </c>
      <c r="B5" s="1" t="s">
        <v>338</v>
      </c>
      <c r="C5" s="1" t="s">
        <v>738</v>
      </c>
      <c r="D5" s="2" t="s">
        <v>323</v>
      </c>
      <c r="E5" s="1" t="s">
        <v>44</v>
      </c>
      <c r="F5" s="12">
        <v>2</v>
      </c>
      <c r="G5" s="13">
        <v>8.1999999999999993</v>
      </c>
      <c r="H5" s="11">
        <f>F5*G5</f>
        <v>16.399999999999999</v>
      </c>
    </row>
    <row r="6" spans="1:8" ht="27.6" x14ac:dyDescent="0.3">
      <c r="A6">
        <v>2</v>
      </c>
      <c r="B6" s="1" t="s">
        <v>338</v>
      </c>
      <c r="C6" s="1" t="s">
        <v>738</v>
      </c>
      <c r="D6" s="2" t="s">
        <v>324</v>
      </c>
      <c r="E6" s="1" t="s">
        <v>753</v>
      </c>
      <c r="F6" s="12">
        <v>6</v>
      </c>
      <c r="G6" s="13">
        <v>24</v>
      </c>
      <c r="H6" s="11">
        <f>F6*G6</f>
        <v>144</v>
      </c>
    </row>
    <row r="7" spans="1:8" x14ac:dyDescent="0.3">
      <c r="A7">
        <v>1</v>
      </c>
      <c r="B7" s="1" t="s">
        <v>338</v>
      </c>
      <c r="C7" s="6" t="s">
        <v>596</v>
      </c>
      <c r="D7" s="2" t="s">
        <v>93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x14ac:dyDescent="0.3">
      <c r="A8">
        <v>1</v>
      </c>
      <c r="B8" s="1" t="s">
        <v>338</v>
      </c>
      <c r="C8" s="6" t="s">
        <v>596</v>
      </c>
      <c r="D8" s="2" t="s">
        <v>325</v>
      </c>
      <c r="E8" s="1" t="s">
        <v>21</v>
      </c>
      <c r="F8" s="12">
        <v>51</v>
      </c>
      <c r="G8" s="13"/>
      <c r="H8" s="11"/>
    </row>
  </sheetData>
  <autoFilter ref="A1:G8" xr:uid="{49C4E761-839B-4CF0-9D27-8F3A138FF82B}"/>
  <conditionalFormatting sqref="B7:B8 D7:G8 B2:G6">
    <cfRule type="expression" dxfId="8" priority="1">
      <formula>$I2&gt;0</formula>
    </cfRule>
  </conditionalFormatting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0A87A-907B-4388-BF1E-38F158FA3E25}">
  <sheetPr codeName="Лист85"/>
  <dimension ref="A1:H8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3</v>
      </c>
      <c r="B2" s="1" t="s">
        <v>337</v>
      </c>
      <c r="C2" s="1" t="s">
        <v>741</v>
      </c>
      <c r="D2" s="2" t="s">
        <v>321</v>
      </c>
      <c r="E2" s="1" t="s">
        <v>21</v>
      </c>
      <c r="F2" s="12">
        <v>1</v>
      </c>
      <c r="G2" s="13">
        <v>615</v>
      </c>
      <c r="H2" s="11">
        <f>F2*G2</f>
        <v>615</v>
      </c>
    </row>
    <row r="3" spans="1:8" ht="27.6" x14ac:dyDescent="0.3">
      <c r="A3">
        <v>3</v>
      </c>
      <c r="B3" s="1" t="s">
        <v>337</v>
      </c>
      <c r="C3" s="1" t="s">
        <v>741</v>
      </c>
      <c r="D3" s="2" t="s">
        <v>190</v>
      </c>
      <c r="E3" s="1" t="s">
        <v>21</v>
      </c>
      <c r="F3" s="12">
        <v>51</v>
      </c>
      <c r="G3" s="13"/>
      <c r="H3" s="11"/>
    </row>
    <row r="4" spans="1:8" x14ac:dyDescent="0.3">
      <c r="A4">
        <v>2</v>
      </c>
      <c r="B4" s="1" t="s">
        <v>337</v>
      </c>
      <c r="C4" s="1" t="s">
        <v>740</v>
      </c>
      <c r="D4" s="2" t="s">
        <v>322</v>
      </c>
      <c r="E4" s="1" t="s">
        <v>753</v>
      </c>
      <c r="F4" s="12">
        <v>174</v>
      </c>
      <c r="G4" s="13">
        <v>24</v>
      </c>
      <c r="H4" s="11">
        <f>F4*G4</f>
        <v>4176</v>
      </c>
    </row>
    <row r="5" spans="1:8" x14ac:dyDescent="0.3">
      <c r="A5">
        <v>2</v>
      </c>
      <c r="B5" s="1" t="s">
        <v>337</v>
      </c>
      <c r="C5" s="1" t="s">
        <v>740</v>
      </c>
      <c r="D5" s="2" t="s">
        <v>323</v>
      </c>
      <c r="E5" s="1" t="s">
        <v>44</v>
      </c>
      <c r="F5" s="12">
        <v>2</v>
      </c>
      <c r="G5" s="13">
        <v>8.1999999999999993</v>
      </c>
      <c r="H5" s="11">
        <f>F5*G5</f>
        <v>16.399999999999999</v>
      </c>
    </row>
    <row r="6" spans="1:8" ht="27.6" x14ac:dyDescent="0.3">
      <c r="A6">
        <v>2</v>
      </c>
      <c r="B6" s="1" t="s">
        <v>337</v>
      </c>
      <c r="C6" s="1" t="s">
        <v>740</v>
      </c>
      <c r="D6" s="2" t="s">
        <v>324</v>
      </c>
      <c r="E6" s="1" t="s">
        <v>753</v>
      </c>
      <c r="F6" s="12">
        <v>6</v>
      </c>
      <c r="G6" s="13">
        <v>24</v>
      </c>
      <c r="H6" s="11">
        <f>F6*G6</f>
        <v>144</v>
      </c>
    </row>
    <row r="7" spans="1:8" x14ac:dyDescent="0.3">
      <c r="A7">
        <v>1</v>
      </c>
      <c r="B7" s="1" t="s">
        <v>337</v>
      </c>
      <c r="C7" s="1" t="s">
        <v>595</v>
      </c>
      <c r="D7" s="2" t="s">
        <v>93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x14ac:dyDescent="0.3">
      <c r="A8">
        <v>1</v>
      </c>
      <c r="B8" s="1" t="s">
        <v>337</v>
      </c>
      <c r="C8" s="1" t="s">
        <v>595</v>
      </c>
      <c r="D8" s="2" t="s">
        <v>325</v>
      </c>
      <c r="E8" s="1" t="s">
        <v>21</v>
      </c>
      <c r="F8" s="12">
        <v>51</v>
      </c>
      <c r="G8" s="13"/>
      <c r="H8" s="11"/>
    </row>
  </sheetData>
  <autoFilter ref="A1:G8" xr:uid="{49C4E761-839B-4CF0-9D27-8F3A138FF82B}"/>
  <conditionalFormatting sqref="B2:G8">
    <cfRule type="expression" dxfId="7" priority="1">
      <formula>$I2&gt;0</formula>
    </cfRule>
  </conditionalFormatting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CD6F6-7002-4D26-B568-19A7F75E0F5E}">
  <sheetPr codeName="Лист86"/>
  <dimension ref="A1:H8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3</v>
      </c>
      <c r="B2" s="1" t="s">
        <v>336</v>
      </c>
      <c r="C2" s="1" t="s">
        <v>743</v>
      </c>
      <c r="D2" s="2" t="s">
        <v>321</v>
      </c>
      <c r="E2" s="1" t="s">
        <v>21</v>
      </c>
      <c r="F2" s="12">
        <v>1</v>
      </c>
      <c r="G2" s="13">
        <v>615</v>
      </c>
      <c r="H2" s="11">
        <f>F2*G2</f>
        <v>615</v>
      </c>
    </row>
    <row r="3" spans="1:8" ht="27.6" x14ac:dyDescent="0.3">
      <c r="A3">
        <v>3</v>
      </c>
      <c r="B3" s="1" t="s">
        <v>336</v>
      </c>
      <c r="C3" s="1" t="s">
        <v>743</v>
      </c>
      <c r="D3" s="2" t="s">
        <v>190</v>
      </c>
      <c r="E3" s="1" t="s">
        <v>21</v>
      </c>
      <c r="F3" s="12">
        <v>51</v>
      </c>
      <c r="G3" s="13"/>
      <c r="H3" s="11"/>
    </row>
    <row r="4" spans="1:8" x14ac:dyDescent="0.3">
      <c r="A4">
        <v>2</v>
      </c>
      <c r="B4" s="1" t="s">
        <v>336</v>
      </c>
      <c r="C4" s="1" t="s">
        <v>742</v>
      </c>
      <c r="D4" s="2" t="s">
        <v>322</v>
      </c>
      <c r="E4" s="1" t="s">
        <v>753</v>
      </c>
      <c r="F4" s="12">
        <v>174</v>
      </c>
      <c r="G4" s="13">
        <v>24</v>
      </c>
      <c r="H4" s="11">
        <f>F4*G4</f>
        <v>4176</v>
      </c>
    </row>
    <row r="5" spans="1:8" x14ac:dyDescent="0.3">
      <c r="A5">
        <v>2</v>
      </c>
      <c r="B5" s="1" t="s">
        <v>336</v>
      </c>
      <c r="C5" s="1" t="s">
        <v>742</v>
      </c>
      <c r="D5" s="2" t="s">
        <v>323</v>
      </c>
      <c r="E5" s="1" t="s">
        <v>44</v>
      </c>
      <c r="F5" s="12">
        <v>2</v>
      </c>
      <c r="G5" s="13">
        <v>8.1999999999999993</v>
      </c>
      <c r="H5" s="11">
        <f>F5*G5</f>
        <v>16.399999999999999</v>
      </c>
    </row>
    <row r="6" spans="1:8" ht="27.6" x14ac:dyDescent="0.3">
      <c r="A6">
        <v>2</v>
      </c>
      <c r="B6" s="1" t="s">
        <v>336</v>
      </c>
      <c r="C6" s="1" t="s">
        <v>742</v>
      </c>
      <c r="D6" s="2" t="s">
        <v>324</v>
      </c>
      <c r="E6" s="1" t="s">
        <v>753</v>
      </c>
      <c r="F6" s="12">
        <v>6</v>
      </c>
      <c r="G6" s="13">
        <v>24</v>
      </c>
      <c r="H6" s="11">
        <f>F6*G6</f>
        <v>144</v>
      </c>
    </row>
    <row r="7" spans="1:8" x14ac:dyDescent="0.3">
      <c r="A7">
        <v>1</v>
      </c>
      <c r="B7" s="1" t="s">
        <v>336</v>
      </c>
      <c r="C7" s="1" t="s">
        <v>594</v>
      </c>
      <c r="D7" s="2" t="s">
        <v>93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x14ac:dyDescent="0.3">
      <c r="A8">
        <v>1</v>
      </c>
      <c r="B8" s="1" t="s">
        <v>336</v>
      </c>
      <c r="C8" s="1" t="s">
        <v>594</v>
      </c>
      <c r="D8" s="2" t="s">
        <v>325</v>
      </c>
      <c r="E8" s="1" t="s">
        <v>21</v>
      </c>
      <c r="F8" s="12">
        <v>51</v>
      </c>
      <c r="G8" s="13"/>
      <c r="H8" s="11"/>
    </row>
  </sheetData>
  <autoFilter ref="A1:G8" xr:uid="{49C4E761-839B-4CF0-9D27-8F3A138FF82B}"/>
  <conditionalFormatting sqref="B2:G8">
    <cfRule type="expression" dxfId="6" priority="1">
      <formula>$I2&gt;0</formula>
    </cfRule>
  </conditionalFormatting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3CCDF-80D7-4C41-BA66-67D83BC812F4}">
  <sheetPr codeName="Лист87"/>
  <dimension ref="A1:H8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335</v>
      </c>
      <c r="C2" s="1" t="s">
        <v>745</v>
      </c>
      <c r="D2" s="2" t="s">
        <v>321</v>
      </c>
      <c r="E2" s="1" t="s">
        <v>21</v>
      </c>
      <c r="F2" s="12">
        <v>1</v>
      </c>
      <c r="G2" s="13">
        <v>615</v>
      </c>
      <c r="H2" s="11">
        <f>F2*G2</f>
        <v>615</v>
      </c>
    </row>
    <row r="3" spans="1:8" ht="27.6" x14ac:dyDescent="0.3">
      <c r="A3">
        <v>2</v>
      </c>
      <c r="B3" s="1" t="s">
        <v>335</v>
      </c>
      <c r="C3" s="1" t="s">
        <v>745</v>
      </c>
      <c r="D3" s="2" t="s">
        <v>190</v>
      </c>
      <c r="E3" s="1" t="s">
        <v>21</v>
      </c>
      <c r="F3" s="12">
        <v>51</v>
      </c>
      <c r="G3" s="13"/>
      <c r="H3" s="11"/>
    </row>
    <row r="4" spans="1:8" x14ac:dyDescent="0.3">
      <c r="A4">
        <v>1</v>
      </c>
      <c r="B4" s="1" t="s">
        <v>335</v>
      </c>
      <c r="C4" s="1" t="s">
        <v>744</v>
      </c>
      <c r="D4" s="2" t="s">
        <v>322</v>
      </c>
      <c r="E4" s="1" t="s">
        <v>753</v>
      </c>
      <c r="F4" s="12">
        <v>174</v>
      </c>
      <c r="G4" s="13">
        <v>24</v>
      </c>
      <c r="H4" s="11">
        <f>F4*G4</f>
        <v>4176</v>
      </c>
    </row>
    <row r="5" spans="1:8" x14ac:dyDescent="0.3">
      <c r="A5">
        <v>1</v>
      </c>
      <c r="B5" s="1" t="s">
        <v>335</v>
      </c>
      <c r="C5" s="1" t="s">
        <v>744</v>
      </c>
      <c r="D5" s="2" t="s">
        <v>323</v>
      </c>
      <c r="E5" s="1" t="s">
        <v>44</v>
      </c>
      <c r="F5" s="12">
        <v>2</v>
      </c>
      <c r="G5" s="13">
        <v>8.1999999999999993</v>
      </c>
      <c r="H5" s="11">
        <f>F5*G5</f>
        <v>16.399999999999999</v>
      </c>
    </row>
    <row r="6" spans="1:8" ht="27.6" x14ac:dyDescent="0.3">
      <c r="A6">
        <v>1</v>
      </c>
      <c r="B6" s="1" t="s">
        <v>335</v>
      </c>
      <c r="C6" s="1" t="s">
        <v>744</v>
      </c>
      <c r="D6" s="2" t="s">
        <v>324</v>
      </c>
      <c r="E6" s="1" t="s">
        <v>753</v>
      </c>
      <c r="F6" s="12">
        <v>6</v>
      </c>
      <c r="G6" s="13">
        <v>24</v>
      </c>
      <c r="H6" s="11">
        <f>F6*G6</f>
        <v>144</v>
      </c>
    </row>
    <row r="7" spans="1:8" x14ac:dyDescent="0.3">
      <c r="A7">
        <v>3</v>
      </c>
      <c r="B7" s="1" t="s">
        <v>335</v>
      </c>
      <c r="C7" s="1" t="s">
        <v>746</v>
      </c>
      <c r="D7" s="2" t="s">
        <v>93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x14ac:dyDescent="0.3">
      <c r="A8">
        <v>3</v>
      </c>
      <c r="B8" s="1" t="s">
        <v>335</v>
      </c>
      <c r="C8" s="1" t="s">
        <v>746</v>
      </c>
      <c r="D8" s="2" t="s">
        <v>325</v>
      </c>
      <c r="E8" s="1" t="s">
        <v>21</v>
      </c>
      <c r="F8" s="12">
        <v>51</v>
      </c>
      <c r="G8" s="13"/>
      <c r="H8" s="11"/>
    </row>
  </sheetData>
  <autoFilter ref="A1:G8" xr:uid="{49C4E761-839B-4CF0-9D27-8F3A138FF82B}"/>
  <conditionalFormatting sqref="B2:G8">
    <cfRule type="expression" dxfId="5" priority="1">
      <formula>$I2&gt;0</formula>
    </cfRule>
  </conditionalFormatting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316A59-0D18-482A-9438-02B4255AA6D9}">
  <sheetPr codeName="Лист88"/>
  <dimension ref="A1:H8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3</v>
      </c>
      <c r="B2" s="1" t="s">
        <v>334</v>
      </c>
      <c r="C2" s="1" t="s">
        <v>748</v>
      </c>
      <c r="D2" s="2" t="s">
        <v>321</v>
      </c>
      <c r="E2" s="1" t="s">
        <v>21</v>
      </c>
      <c r="F2" s="12">
        <v>1</v>
      </c>
      <c r="G2" s="13">
        <v>615</v>
      </c>
      <c r="H2" s="11">
        <f>F2*G2</f>
        <v>615</v>
      </c>
    </row>
    <row r="3" spans="1:8" ht="27.6" x14ac:dyDescent="0.3">
      <c r="A3">
        <v>3</v>
      </c>
      <c r="B3" s="1" t="s">
        <v>334</v>
      </c>
      <c r="C3" s="1" t="s">
        <v>748</v>
      </c>
      <c r="D3" s="2" t="s">
        <v>190</v>
      </c>
      <c r="E3" s="1" t="s">
        <v>21</v>
      </c>
      <c r="F3" s="12">
        <v>51</v>
      </c>
      <c r="G3" s="13"/>
      <c r="H3" s="11"/>
    </row>
    <row r="4" spans="1:8" x14ac:dyDescent="0.3">
      <c r="A4">
        <v>2</v>
      </c>
      <c r="B4" s="1" t="s">
        <v>334</v>
      </c>
      <c r="C4" s="1" t="s">
        <v>747</v>
      </c>
      <c r="D4" s="2" t="s">
        <v>322</v>
      </c>
      <c r="E4" s="1" t="s">
        <v>753</v>
      </c>
      <c r="F4" s="12">
        <v>174</v>
      </c>
      <c r="G4" s="13">
        <v>24</v>
      </c>
      <c r="H4" s="11">
        <f>F4*G4</f>
        <v>4176</v>
      </c>
    </row>
    <row r="5" spans="1:8" x14ac:dyDescent="0.3">
      <c r="A5">
        <v>2</v>
      </c>
      <c r="B5" s="1" t="s">
        <v>334</v>
      </c>
      <c r="C5" s="1" t="s">
        <v>747</v>
      </c>
      <c r="D5" s="2" t="s">
        <v>323</v>
      </c>
      <c r="E5" s="1" t="s">
        <v>44</v>
      </c>
      <c r="F5" s="12">
        <v>2</v>
      </c>
      <c r="G5" s="13">
        <v>8.1999999999999993</v>
      </c>
      <c r="H5" s="11">
        <f>F5*G5</f>
        <v>16.399999999999999</v>
      </c>
    </row>
    <row r="6" spans="1:8" ht="27.6" x14ac:dyDescent="0.3">
      <c r="A6">
        <v>2</v>
      </c>
      <c r="B6" s="1" t="s">
        <v>334</v>
      </c>
      <c r="C6" s="1" t="s">
        <v>747</v>
      </c>
      <c r="D6" s="2" t="s">
        <v>324</v>
      </c>
      <c r="E6" s="1" t="s">
        <v>753</v>
      </c>
      <c r="F6" s="12">
        <v>6</v>
      </c>
      <c r="G6" s="13">
        <v>24</v>
      </c>
      <c r="H6" s="11">
        <f>F6*G6</f>
        <v>144</v>
      </c>
    </row>
    <row r="7" spans="1:8" x14ac:dyDescent="0.3">
      <c r="A7">
        <v>1</v>
      </c>
      <c r="B7" s="1" t="s">
        <v>334</v>
      </c>
      <c r="C7" s="1" t="s">
        <v>701</v>
      </c>
      <c r="D7" s="2" t="s">
        <v>93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x14ac:dyDescent="0.3">
      <c r="A8">
        <v>1</v>
      </c>
      <c r="B8" s="1" t="s">
        <v>334</v>
      </c>
      <c r="C8" s="1" t="s">
        <v>701</v>
      </c>
      <c r="D8" s="2" t="s">
        <v>325</v>
      </c>
      <c r="E8" s="1" t="s">
        <v>21</v>
      </c>
      <c r="F8" s="12">
        <v>51</v>
      </c>
      <c r="G8" s="13"/>
      <c r="H8" s="11"/>
    </row>
  </sheetData>
  <autoFilter ref="A1:G8" xr:uid="{49C4E761-839B-4CF0-9D27-8F3A138FF82B}"/>
  <conditionalFormatting sqref="B2:G8">
    <cfRule type="expression" dxfId="4" priority="1">
      <formula>$I2&gt;0</formula>
    </cfRule>
  </conditionalFormatting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6FC82-42FD-42F6-B88A-98C39D10F6BB}">
  <sheetPr codeName="Лист89"/>
  <dimension ref="A1:H8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3</v>
      </c>
      <c r="B2" s="1" t="s">
        <v>332</v>
      </c>
      <c r="C2" s="1" t="s">
        <v>750</v>
      </c>
      <c r="D2" s="2" t="s">
        <v>321</v>
      </c>
      <c r="E2" s="1" t="s">
        <v>21</v>
      </c>
      <c r="F2" s="12">
        <v>1</v>
      </c>
      <c r="G2" s="13">
        <v>615</v>
      </c>
      <c r="H2" s="11">
        <f>F2*G2</f>
        <v>615</v>
      </c>
    </row>
    <row r="3" spans="1:8" ht="27.6" x14ac:dyDescent="0.3">
      <c r="A3">
        <v>3</v>
      </c>
      <c r="B3" s="1" t="s">
        <v>332</v>
      </c>
      <c r="C3" s="1" t="s">
        <v>750</v>
      </c>
      <c r="D3" s="2" t="s">
        <v>190</v>
      </c>
      <c r="E3" s="1" t="s">
        <v>21</v>
      </c>
      <c r="F3" s="12">
        <v>51</v>
      </c>
      <c r="G3" s="13"/>
      <c r="H3" s="11"/>
    </row>
    <row r="4" spans="1:8" x14ac:dyDescent="0.3">
      <c r="A4">
        <v>2</v>
      </c>
      <c r="B4" s="1" t="s">
        <v>332</v>
      </c>
      <c r="C4" s="1" t="s">
        <v>749</v>
      </c>
      <c r="D4" s="2" t="s">
        <v>322</v>
      </c>
      <c r="E4" s="1" t="s">
        <v>753</v>
      </c>
      <c r="F4" s="12">
        <v>174</v>
      </c>
      <c r="G4" s="13">
        <v>24</v>
      </c>
      <c r="H4" s="11">
        <f>F4*G4</f>
        <v>4176</v>
      </c>
    </row>
    <row r="5" spans="1:8" x14ac:dyDescent="0.3">
      <c r="A5">
        <v>2</v>
      </c>
      <c r="B5" s="1" t="s">
        <v>332</v>
      </c>
      <c r="C5" s="1" t="s">
        <v>749</v>
      </c>
      <c r="D5" s="2" t="s">
        <v>323</v>
      </c>
      <c r="E5" s="1" t="s">
        <v>44</v>
      </c>
      <c r="F5" s="12">
        <v>2</v>
      </c>
      <c r="G5" s="13">
        <v>8.1999999999999993</v>
      </c>
      <c r="H5" s="11">
        <f>F5*G5</f>
        <v>16.399999999999999</v>
      </c>
    </row>
    <row r="6" spans="1:8" ht="27.6" x14ac:dyDescent="0.3">
      <c r="A6">
        <v>2</v>
      </c>
      <c r="B6" s="1" t="s">
        <v>332</v>
      </c>
      <c r="C6" s="1" t="s">
        <v>749</v>
      </c>
      <c r="D6" s="2" t="s">
        <v>324</v>
      </c>
      <c r="E6" s="1" t="s">
        <v>753</v>
      </c>
      <c r="F6" s="12">
        <v>6</v>
      </c>
      <c r="G6" s="13">
        <v>24</v>
      </c>
      <c r="H6" s="11">
        <f>F6*G6</f>
        <v>144</v>
      </c>
    </row>
    <row r="7" spans="1:8" x14ac:dyDescent="0.3">
      <c r="A7">
        <v>1</v>
      </c>
      <c r="B7" s="1" t="s">
        <v>332</v>
      </c>
      <c r="C7" s="1" t="s">
        <v>700</v>
      </c>
      <c r="D7" s="2" t="s">
        <v>93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x14ac:dyDescent="0.3">
      <c r="A8">
        <v>1</v>
      </c>
      <c r="B8" s="1" t="s">
        <v>332</v>
      </c>
      <c r="C8" s="1" t="s">
        <v>700</v>
      </c>
      <c r="D8" s="2" t="s">
        <v>333</v>
      </c>
      <c r="E8" s="1" t="s">
        <v>21</v>
      </c>
      <c r="F8" s="12">
        <v>51</v>
      </c>
      <c r="G8" s="13"/>
      <c r="H8" s="11"/>
    </row>
  </sheetData>
  <autoFilter ref="A1:G8" xr:uid="{49C4E761-839B-4CF0-9D27-8F3A138FF82B}"/>
  <conditionalFormatting sqref="B2:G8">
    <cfRule type="expression" dxfId="3" priority="1">
      <formula>$I2&gt;0</formula>
    </cfRule>
  </conditionalFormatting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8CB79-C6D4-4F9E-9944-2A354FA78689}">
  <sheetPr codeName="Лист90"/>
  <dimension ref="A1:H8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3</v>
      </c>
      <c r="B2" s="1" t="s">
        <v>331</v>
      </c>
      <c r="C2" s="1" t="s">
        <v>752</v>
      </c>
      <c r="D2" s="2" t="s">
        <v>321</v>
      </c>
      <c r="E2" s="1" t="s">
        <v>21</v>
      </c>
      <c r="F2" s="12">
        <v>1</v>
      </c>
      <c r="G2" s="13">
        <v>615</v>
      </c>
      <c r="H2" s="11">
        <f>F2*G2</f>
        <v>615</v>
      </c>
    </row>
    <row r="3" spans="1:8" ht="27.6" x14ac:dyDescent="0.3">
      <c r="A3">
        <v>3</v>
      </c>
      <c r="B3" s="1" t="s">
        <v>331</v>
      </c>
      <c r="C3" s="1" t="s">
        <v>752</v>
      </c>
      <c r="D3" s="2" t="s">
        <v>190</v>
      </c>
      <c r="E3" s="1" t="s">
        <v>21</v>
      </c>
      <c r="F3" s="12">
        <v>51</v>
      </c>
      <c r="G3" s="13"/>
      <c r="H3" s="11"/>
    </row>
    <row r="4" spans="1:8" x14ac:dyDescent="0.3">
      <c r="A4">
        <v>2</v>
      </c>
      <c r="B4" s="1" t="s">
        <v>331</v>
      </c>
      <c r="C4" s="1" t="s">
        <v>751</v>
      </c>
      <c r="D4" s="2" t="s">
        <v>322</v>
      </c>
      <c r="E4" s="1" t="s">
        <v>753</v>
      </c>
      <c r="F4" s="12">
        <v>174</v>
      </c>
      <c r="G4" s="13">
        <v>24</v>
      </c>
      <c r="H4" s="11">
        <f>F4*G4</f>
        <v>4176</v>
      </c>
    </row>
    <row r="5" spans="1:8" x14ac:dyDescent="0.3">
      <c r="A5">
        <v>2</v>
      </c>
      <c r="B5" s="1" t="s">
        <v>331</v>
      </c>
      <c r="C5" s="1" t="s">
        <v>751</v>
      </c>
      <c r="D5" s="2" t="s">
        <v>323</v>
      </c>
      <c r="E5" s="1" t="s">
        <v>44</v>
      </c>
      <c r="F5" s="12">
        <v>2</v>
      </c>
      <c r="G5" s="13">
        <v>8.1999999999999993</v>
      </c>
      <c r="H5" s="11">
        <f>F5*G5</f>
        <v>16.399999999999999</v>
      </c>
    </row>
    <row r="6" spans="1:8" ht="27.6" x14ac:dyDescent="0.3">
      <c r="A6">
        <v>2</v>
      </c>
      <c r="B6" s="1" t="s">
        <v>331</v>
      </c>
      <c r="C6" s="1" t="s">
        <v>751</v>
      </c>
      <c r="D6" s="2" t="s">
        <v>324</v>
      </c>
      <c r="E6" s="1" t="s">
        <v>753</v>
      </c>
      <c r="F6" s="12">
        <v>6</v>
      </c>
      <c r="G6" s="13">
        <v>24</v>
      </c>
      <c r="H6" s="11">
        <f>F6*G6</f>
        <v>144</v>
      </c>
    </row>
    <row r="7" spans="1:8" x14ac:dyDescent="0.3">
      <c r="A7">
        <v>1</v>
      </c>
      <c r="B7" s="1" t="s">
        <v>331</v>
      </c>
      <c r="C7" s="1" t="s">
        <v>606</v>
      </c>
      <c r="D7" s="2" t="s">
        <v>93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x14ac:dyDescent="0.3">
      <c r="A8">
        <v>1</v>
      </c>
      <c r="B8" s="1" t="s">
        <v>331</v>
      </c>
      <c r="C8" s="1" t="s">
        <v>606</v>
      </c>
      <c r="D8" s="2" t="s">
        <v>325</v>
      </c>
      <c r="E8" s="1" t="s">
        <v>21</v>
      </c>
      <c r="F8" s="12">
        <v>51</v>
      </c>
      <c r="G8" s="13"/>
      <c r="H8" s="11"/>
    </row>
  </sheetData>
  <autoFilter ref="A1:G8" xr:uid="{49C4E761-839B-4CF0-9D27-8F3A138FF82B}"/>
  <conditionalFormatting sqref="B2:G8">
    <cfRule type="expression" dxfId="2" priority="1">
      <formula>$I2&gt;0</formula>
    </cfRule>
  </conditionalFormatting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DD689-5C82-44EA-BA00-1D7D6E5BF242}">
  <sheetPr codeName="Лист91">
    <tabColor rgb="FF00B050"/>
  </sheetPr>
  <dimension ref="A1:H8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27.6" x14ac:dyDescent="0.3">
      <c r="A2">
        <v>2</v>
      </c>
      <c r="B2" s="1" t="s">
        <v>328</v>
      </c>
      <c r="C2" s="1" t="s">
        <v>577</v>
      </c>
      <c r="D2" s="2" t="s">
        <v>292</v>
      </c>
      <c r="E2" s="1" t="s">
        <v>21</v>
      </c>
      <c r="F2" s="12">
        <v>17</v>
      </c>
      <c r="G2" s="13"/>
      <c r="H2" s="11"/>
    </row>
    <row r="3" spans="1:8" ht="27.6" x14ac:dyDescent="0.3">
      <c r="A3">
        <v>2</v>
      </c>
      <c r="B3" s="1" t="s">
        <v>328</v>
      </c>
      <c r="C3" s="1" t="s">
        <v>577</v>
      </c>
      <c r="D3" s="2" t="s">
        <v>293</v>
      </c>
      <c r="E3" s="1" t="s">
        <v>21</v>
      </c>
      <c r="F3" s="12">
        <v>1</v>
      </c>
      <c r="G3" s="13">
        <v>615</v>
      </c>
      <c r="H3" s="11">
        <f>F3*G3</f>
        <v>615</v>
      </c>
    </row>
    <row r="4" spans="1:8" ht="41.4" x14ac:dyDescent="0.3">
      <c r="A4">
        <v>2</v>
      </c>
      <c r="B4" s="1" t="s">
        <v>328</v>
      </c>
      <c r="C4" s="1" t="s">
        <v>577</v>
      </c>
      <c r="D4" s="2" t="s">
        <v>294</v>
      </c>
      <c r="E4" s="1" t="s">
        <v>21</v>
      </c>
      <c r="F4" s="12">
        <v>2</v>
      </c>
      <c r="G4" s="13"/>
      <c r="H4" s="11"/>
    </row>
    <row r="5" spans="1:8" ht="27.6" x14ac:dyDescent="0.3">
      <c r="A5">
        <v>1</v>
      </c>
      <c r="B5" s="1" t="s">
        <v>328</v>
      </c>
      <c r="C5" s="1" t="s">
        <v>565</v>
      </c>
      <c r="D5" s="2" t="s">
        <v>295</v>
      </c>
      <c r="E5" s="1" t="s">
        <v>21</v>
      </c>
      <c r="F5" s="12">
        <v>14</v>
      </c>
      <c r="G5" s="13"/>
      <c r="H5" s="11"/>
    </row>
    <row r="6" spans="1:8" ht="27.6" x14ac:dyDescent="0.3">
      <c r="A6">
        <v>1</v>
      </c>
      <c r="B6" s="1" t="s">
        <v>328</v>
      </c>
      <c r="C6" s="1" t="s">
        <v>565</v>
      </c>
      <c r="D6" s="2" t="s">
        <v>296</v>
      </c>
      <c r="E6" s="1" t="s">
        <v>21</v>
      </c>
      <c r="F6" s="12">
        <v>14</v>
      </c>
      <c r="G6" s="13"/>
      <c r="H6" s="11"/>
    </row>
    <row r="7" spans="1:8" x14ac:dyDescent="0.3">
      <c r="A7">
        <v>1</v>
      </c>
      <c r="B7" s="1" t="s">
        <v>328</v>
      </c>
      <c r="C7" s="1" t="s">
        <v>565</v>
      </c>
      <c r="D7" s="2" t="s">
        <v>297</v>
      </c>
      <c r="E7" s="1" t="s">
        <v>21</v>
      </c>
      <c r="F7" s="12">
        <v>1</v>
      </c>
      <c r="G7" s="13">
        <v>222.00000000000003</v>
      </c>
      <c r="H7" s="11">
        <f>F7*G7</f>
        <v>222.00000000000003</v>
      </c>
    </row>
    <row r="8" spans="1:8" ht="27.6" x14ac:dyDescent="0.3">
      <c r="A8">
        <v>1</v>
      </c>
      <c r="B8" s="1" t="s">
        <v>328</v>
      </c>
      <c r="C8" s="1" t="s">
        <v>565</v>
      </c>
      <c r="D8" s="2" t="s">
        <v>298</v>
      </c>
      <c r="E8" s="1" t="s">
        <v>21</v>
      </c>
      <c r="F8" s="12">
        <v>14.000000000000002</v>
      </c>
      <c r="G8" s="13">
        <v>16.999999999999996</v>
      </c>
      <c r="H8" s="11">
        <f>F8*G8</f>
        <v>237.99999999999997</v>
      </c>
    </row>
  </sheetData>
  <autoFilter ref="A1:G8" xr:uid="{49C4E761-839B-4CF0-9D27-8F3A138FF82B}"/>
  <conditionalFormatting sqref="B2:G8">
    <cfRule type="expression" dxfId="1" priority="1">
      <formula>$I2&gt;0</formula>
    </cfRule>
  </conditionalFormatting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BDE6C-21BD-4DBC-86F9-EFA6240CEBD8}">
  <sheetPr codeName="Лист92">
    <tabColor rgb="FF00B050"/>
  </sheetPr>
  <dimension ref="A1:H9"/>
  <sheetViews>
    <sheetView workbookViewId="0">
      <selection activeCell="D27" sqref="D27"/>
    </sheetView>
  </sheetViews>
  <sheetFormatPr defaultRowHeight="14.4" x14ac:dyDescent="0.3"/>
  <cols>
    <col min="2" max="2" width="27.88671875" customWidth="1"/>
    <col min="3" max="3" width="41.109375" customWidth="1"/>
    <col min="4" max="4" width="63.88671875" customWidth="1"/>
    <col min="5" max="5" width="10.5546875" customWidth="1"/>
    <col min="6" max="6" width="12" customWidth="1"/>
    <col min="7" max="7" width="12.109375" customWidth="1"/>
  </cols>
  <sheetData>
    <row r="1" spans="1:8" ht="41.4" x14ac:dyDescent="0.3">
      <c r="B1" s="3" t="s">
        <v>6</v>
      </c>
      <c r="C1" s="3" t="s">
        <v>7</v>
      </c>
      <c r="D1" s="3" t="s">
        <v>8</v>
      </c>
      <c r="E1" s="3" t="s">
        <v>9</v>
      </c>
      <c r="F1" s="3" t="s">
        <v>10</v>
      </c>
      <c r="G1" s="3" t="s">
        <v>11</v>
      </c>
    </row>
    <row r="2" spans="1:8" ht="41.4" x14ac:dyDescent="0.3">
      <c r="A2">
        <v>1</v>
      </c>
      <c r="B2" s="1" t="s">
        <v>379</v>
      </c>
      <c r="C2" s="1" t="s">
        <v>726</v>
      </c>
      <c r="D2" s="2" t="s">
        <v>346</v>
      </c>
      <c r="E2" s="1" t="s">
        <v>21</v>
      </c>
      <c r="F2" s="12">
        <v>60</v>
      </c>
      <c r="G2" s="13"/>
      <c r="H2" s="11"/>
    </row>
    <row r="3" spans="1:8" ht="41.4" x14ac:dyDescent="0.3">
      <c r="A3">
        <v>1</v>
      </c>
      <c r="B3" s="1" t="s">
        <v>379</v>
      </c>
      <c r="C3" s="1" t="s">
        <v>726</v>
      </c>
      <c r="D3" s="2" t="s">
        <v>361</v>
      </c>
      <c r="E3" s="1" t="s">
        <v>21</v>
      </c>
      <c r="F3" s="12">
        <v>51</v>
      </c>
      <c r="G3" s="13"/>
      <c r="H3" s="11"/>
    </row>
    <row r="4" spans="1:8" x14ac:dyDescent="0.3">
      <c r="A4">
        <v>1</v>
      </c>
      <c r="B4" s="1" t="s">
        <v>379</v>
      </c>
      <c r="C4" s="1" t="s">
        <v>726</v>
      </c>
      <c r="D4" s="2" t="s">
        <v>79</v>
      </c>
      <c r="E4" s="1" t="s">
        <v>21</v>
      </c>
      <c r="F4" s="12">
        <v>51</v>
      </c>
      <c r="G4" s="13"/>
      <c r="H4" s="11"/>
    </row>
    <row r="5" spans="1:8" ht="27.6" x14ac:dyDescent="0.3">
      <c r="A5">
        <v>2</v>
      </c>
      <c r="B5" s="1" t="s">
        <v>379</v>
      </c>
      <c r="C5" s="1" t="s">
        <v>727</v>
      </c>
      <c r="D5" s="2" t="s">
        <v>348</v>
      </c>
      <c r="E5" s="1" t="s">
        <v>21</v>
      </c>
      <c r="F5" s="12">
        <v>188</v>
      </c>
      <c r="G5" s="13"/>
      <c r="H5" s="11"/>
    </row>
    <row r="6" spans="1:8" ht="27.6" x14ac:dyDescent="0.3">
      <c r="A6">
        <v>2</v>
      </c>
      <c r="B6" s="1" t="s">
        <v>379</v>
      </c>
      <c r="C6" s="1" t="s">
        <v>727</v>
      </c>
      <c r="D6" s="2" t="s">
        <v>349</v>
      </c>
      <c r="E6" s="1" t="s">
        <v>21</v>
      </c>
      <c r="F6" s="12">
        <v>188</v>
      </c>
      <c r="G6" s="13"/>
      <c r="H6" s="11"/>
    </row>
    <row r="7" spans="1:8" x14ac:dyDescent="0.3">
      <c r="A7">
        <v>2</v>
      </c>
      <c r="B7" s="1" t="s">
        <v>379</v>
      </c>
      <c r="C7" s="1" t="s">
        <v>727</v>
      </c>
      <c r="D7" s="2" t="s">
        <v>350</v>
      </c>
      <c r="E7" s="1" t="s">
        <v>21</v>
      </c>
      <c r="F7" s="12">
        <v>188</v>
      </c>
      <c r="G7" s="13">
        <v>30</v>
      </c>
      <c r="H7" s="11">
        <f>F7*G7</f>
        <v>5640</v>
      </c>
    </row>
    <row r="8" spans="1:8" ht="27.6" x14ac:dyDescent="0.3">
      <c r="A8">
        <v>2</v>
      </c>
      <c r="B8" s="1" t="s">
        <v>379</v>
      </c>
      <c r="C8" s="1" t="s">
        <v>727</v>
      </c>
      <c r="D8" s="2" t="s">
        <v>351</v>
      </c>
      <c r="E8" s="1" t="s">
        <v>106</v>
      </c>
      <c r="F8" s="12">
        <v>211</v>
      </c>
      <c r="G8" s="13">
        <v>2</v>
      </c>
      <c r="H8" s="11">
        <f>F8*G8</f>
        <v>422</v>
      </c>
    </row>
    <row r="9" spans="1:8" ht="27.6" x14ac:dyDescent="0.3">
      <c r="A9">
        <v>3</v>
      </c>
      <c r="B9" s="1" t="s">
        <v>379</v>
      </c>
      <c r="C9" s="1" t="s">
        <v>608</v>
      </c>
      <c r="D9" s="2" t="s">
        <v>353</v>
      </c>
      <c r="E9" s="1" t="s">
        <v>106</v>
      </c>
      <c r="F9" s="12">
        <v>56.999999999999993</v>
      </c>
      <c r="G9" s="13"/>
      <c r="H9" s="11"/>
    </row>
  </sheetData>
  <autoFilter ref="A1:G9" xr:uid="{49C4E761-839B-4CF0-9D27-8F3A138FF82B}"/>
  <conditionalFormatting sqref="B2:G9">
    <cfRule type="expression" dxfId="0" priority="1">
      <formula>$I2&gt;0</formula>
    </cfRule>
  </conditionalFormatting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25A10-2D9D-4594-829F-94DD23F078E9}">
  <sheetPr codeName="Лист94"/>
  <dimension ref="A1:H7"/>
  <sheetViews>
    <sheetView workbookViewId="0">
      <selection activeCell="D27" sqref="D27:D28"/>
    </sheetView>
  </sheetViews>
  <sheetFormatPr defaultRowHeight="14.4" x14ac:dyDescent="0.3"/>
  <cols>
    <col min="2" max="2" width="45.44140625" customWidth="1"/>
  </cols>
  <sheetData>
    <row r="1" spans="1:8" x14ac:dyDescent="0.3"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</row>
    <row r="2" spans="1:8" x14ac:dyDescent="0.3">
      <c r="A2">
        <v>2</v>
      </c>
      <c r="B2" t="s">
        <v>388</v>
      </c>
      <c r="C2" t="s">
        <v>686</v>
      </c>
      <c r="D2" t="s">
        <v>353</v>
      </c>
      <c r="E2" t="s">
        <v>106</v>
      </c>
      <c r="F2" s="11">
        <v>56.999999999999993</v>
      </c>
      <c r="G2" s="11"/>
      <c r="H2" s="11"/>
    </row>
    <row r="3" spans="1:8" x14ac:dyDescent="0.3">
      <c r="A3">
        <v>1</v>
      </c>
      <c r="B3" t="s">
        <v>388</v>
      </c>
      <c r="C3" t="s">
        <v>685</v>
      </c>
      <c r="D3" t="s">
        <v>354</v>
      </c>
      <c r="E3" t="s">
        <v>21</v>
      </c>
      <c r="F3" s="11">
        <v>118</v>
      </c>
      <c r="G3" s="11"/>
      <c r="H3" s="11"/>
    </row>
    <row r="4" spans="1:8" x14ac:dyDescent="0.3">
      <c r="A4">
        <v>1</v>
      </c>
      <c r="B4" t="s">
        <v>388</v>
      </c>
      <c r="C4" t="s">
        <v>685</v>
      </c>
      <c r="D4" t="s">
        <v>355</v>
      </c>
      <c r="E4" t="s">
        <v>21</v>
      </c>
      <c r="F4" s="11">
        <v>118</v>
      </c>
      <c r="G4" s="11"/>
      <c r="H4" s="11"/>
    </row>
    <row r="5" spans="1:8" x14ac:dyDescent="0.3">
      <c r="A5">
        <v>1</v>
      </c>
      <c r="B5" t="s">
        <v>388</v>
      </c>
      <c r="C5" t="s">
        <v>685</v>
      </c>
      <c r="D5" t="s">
        <v>356</v>
      </c>
      <c r="E5" t="s">
        <v>21</v>
      </c>
      <c r="F5" s="11">
        <v>118</v>
      </c>
      <c r="G5" s="11">
        <v>16.999999999999996</v>
      </c>
      <c r="H5" s="11">
        <f>F5*G5</f>
        <v>2005.9999999999995</v>
      </c>
    </row>
    <row r="6" spans="1:8" x14ac:dyDescent="0.3">
      <c r="A6">
        <v>1</v>
      </c>
      <c r="B6" t="s">
        <v>388</v>
      </c>
      <c r="C6" t="s">
        <v>685</v>
      </c>
      <c r="D6" t="s">
        <v>357</v>
      </c>
      <c r="E6" t="s">
        <v>106</v>
      </c>
      <c r="F6" s="11">
        <v>263</v>
      </c>
      <c r="G6" s="11">
        <v>122.99999999999999</v>
      </c>
      <c r="H6" s="11">
        <f>F6*G6</f>
        <v>32348.999999999996</v>
      </c>
    </row>
    <row r="7" spans="1:8" x14ac:dyDescent="0.3">
      <c r="A7">
        <v>1</v>
      </c>
      <c r="B7" t="s">
        <v>388</v>
      </c>
      <c r="C7" t="s">
        <v>685</v>
      </c>
      <c r="D7" t="s">
        <v>358</v>
      </c>
      <c r="E7" t="s">
        <v>106</v>
      </c>
      <c r="F7" s="11">
        <v>263</v>
      </c>
      <c r="G7" s="11">
        <v>33.200000000000003</v>
      </c>
      <c r="H7" s="11">
        <f>F7*G7</f>
        <v>8731.6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94</vt:i4>
      </vt:variant>
    </vt:vector>
  </HeadingPairs>
  <TitlesOfParts>
    <vt:vector size="94" baseType="lpstr">
      <vt:lpstr>000.ВК.</vt:lpstr>
      <vt:lpstr>004.000.Т.</vt:lpstr>
      <vt:lpstr>003.АС</vt:lpstr>
      <vt:lpstr>004.АС</vt:lpstr>
      <vt:lpstr>004.ТХ</vt:lpstr>
      <vt:lpstr>008.АС.</vt:lpstr>
      <vt:lpstr>014.АС</vt:lpstr>
      <vt:lpstr>014.ВК</vt:lpstr>
      <vt:lpstr>021.АС.</vt:lpstr>
      <vt:lpstr>022.АС.</vt:lpstr>
      <vt:lpstr>022.ТХ.</vt:lpstr>
      <vt:lpstr>025.АС.</vt:lpstr>
      <vt:lpstr>025.Т.</vt:lpstr>
      <vt:lpstr>000.000.ЭВ.</vt:lpstr>
      <vt:lpstr>ЭХЗ.ВР</vt:lpstr>
      <vt:lpstr>000.000.АС3</vt:lpstr>
      <vt:lpstr>000.000.ЭВ3</vt:lpstr>
      <vt:lpstr>000.АС10</vt:lpstr>
      <vt:lpstr>000.АС11</vt:lpstr>
      <vt:lpstr>000.ГП10</vt:lpstr>
      <vt:lpstr>000.ГП16</vt:lpstr>
      <vt:lpstr>.000.ГП17</vt:lpstr>
      <vt:lpstr>000.ГП18</vt:lpstr>
      <vt:lpstr>000.ГП19</vt:lpstr>
      <vt:lpstr>.000.ГП2</vt:lpstr>
      <vt:lpstr>000.ГП3</vt:lpstr>
      <vt:lpstr>000.ГП4</vt:lpstr>
      <vt:lpstr>Л.000</vt:lpstr>
      <vt:lpstr>000.ЭМ1</vt:lpstr>
      <vt:lpstr>000.ЭМ2</vt:lpstr>
      <vt:lpstr>000.ЭМ10</vt:lpstr>
      <vt:lpstr>000.ЭМ11</vt:lpstr>
      <vt:lpstr>000.ЭМ12</vt:lpstr>
      <vt:lpstr>000.ЭМ13</vt:lpstr>
      <vt:lpstr>000.ЭМ14</vt:lpstr>
      <vt:lpstr>000.ЭМ15</vt:lpstr>
      <vt:lpstr>000.ЭМ16</vt:lpstr>
      <vt:lpstr>ЭМ17</vt:lpstr>
      <vt:lpstr>ЭМ18</vt:lpstr>
      <vt:lpstr>000.ЭМ19</vt:lpstr>
      <vt:lpstr>000.ЭМ3</vt:lpstr>
      <vt:lpstr>000.ЭМ4</vt:lpstr>
      <vt:lpstr>.000.Л1</vt:lpstr>
      <vt:lpstr>000.ГП6</vt:lpstr>
      <vt:lpstr>000.ГП7</vt:lpstr>
      <vt:lpstr>000.ГП8</vt:lpstr>
      <vt:lpstr>000.ГП9</vt:lpstr>
      <vt:lpstr>000.АС12</vt:lpstr>
      <vt:lpstr>000.АС13</vt:lpstr>
      <vt:lpstr>АС14</vt:lpstr>
      <vt:lpstr>000.АС15</vt:lpstr>
      <vt:lpstr>000.АС16</vt:lpstr>
      <vt:lpstr>000.АС17</vt:lpstr>
      <vt:lpstr>000.АС18</vt:lpstr>
      <vt:lpstr>000.АС19</vt:lpstr>
      <vt:lpstr>000.АС20</vt:lpstr>
      <vt:lpstr>000.АС21</vt:lpstr>
      <vt:lpstr>000.АС22</vt:lpstr>
      <vt:lpstr>АС8</vt:lpstr>
      <vt:lpstr>000.АС23</vt:lpstr>
      <vt:lpstr>000.АС24</vt:lpstr>
      <vt:lpstr>000.АС25</vt:lpstr>
      <vt:lpstr>000.ЭГ18</vt:lpstr>
      <vt:lpstr>000.ЭГ19</vt:lpstr>
      <vt:lpstr>000.ЭГ20</vt:lpstr>
      <vt:lpstr>000.ЭГ21</vt:lpstr>
      <vt:lpstr>00.ЭГ22</vt:lpstr>
      <vt:lpstr>000.ЭГ5</vt:lpstr>
      <vt:lpstr>.000.ЭГ6</vt:lpstr>
      <vt:lpstr>000.ЭГ7</vt:lpstr>
      <vt:lpstr>000.ЭМ5</vt:lpstr>
      <vt:lpstr>00.ЭМ6</vt:lpstr>
      <vt:lpstr>000.ЭМ7</vt:lpstr>
      <vt:lpstr>000.ЭМ8</vt:lpstr>
      <vt:lpstr>000.ЭМ9</vt:lpstr>
      <vt:lpstr>36</vt:lpstr>
      <vt:lpstr>37</vt:lpstr>
      <vt:lpstr>38</vt:lpstr>
      <vt:lpstr>39</vt:lpstr>
      <vt:lpstr>40</vt:lpstr>
      <vt:lpstr>42</vt:lpstr>
      <vt:lpstr>41</vt:lpstr>
      <vt:lpstr>43</vt:lpstr>
      <vt:lpstr>44</vt:lpstr>
      <vt:lpstr>45</vt:lpstr>
      <vt:lpstr>46</vt:lpstr>
      <vt:lpstr>47</vt:lpstr>
      <vt:lpstr>48</vt:lpstr>
      <vt:lpstr>49</vt:lpstr>
      <vt:lpstr>50</vt:lpstr>
      <vt:lpstr>51</vt:lpstr>
      <vt:lpstr>52</vt:lpstr>
      <vt:lpstr>00.ГП15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Svis</dc:creator>
  <cp:lastModifiedBy>Victor Svis</cp:lastModifiedBy>
  <dcterms:created xsi:type="dcterms:W3CDTF">2015-06-05T18:19:34Z</dcterms:created>
  <dcterms:modified xsi:type="dcterms:W3CDTF">2026-06-29T12:49:05Z</dcterms:modified>
</cp:coreProperties>
</file>